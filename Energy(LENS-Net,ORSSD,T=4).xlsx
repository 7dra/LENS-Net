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Desktop\TGRS_2025_9_21\energy_code\logs\ORSSD\"/>
    </mc:Choice>
  </mc:AlternateContent>
  <xr:revisionPtr revIDLastSave="0" documentId="13_ncr:9_{3EC1B23A-BB64-47F8-89C8-022DA05D63A6}" xr6:coauthVersionLast="47" xr6:coauthVersionMax="47" xr10:uidLastSave="{00000000-0000-0000-0000-000000000000}"/>
  <bookViews>
    <workbookView xWindow="-98" yWindow="-98" windowWidth="24196" windowHeight="14476" xr2:uid="{27D8A1B7-69B8-4B35-A951-E5BB33CB829A}"/>
  </bookViews>
  <sheets>
    <sheet name="x1_data_cal(T=4)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B118" i="1" l="1"/>
  <c r="B107" i="1"/>
  <c r="B95" i="1"/>
  <c r="B84" i="1"/>
  <c r="B73" i="1"/>
  <c r="B62" i="1"/>
  <c r="B48" i="1"/>
  <c r="B37" i="1"/>
  <c r="L5" i="1"/>
  <c r="N5" i="1" s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N12" i="1" s="1"/>
  <c r="L13" i="1"/>
  <c r="N13" i="1" s="1"/>
  <c r="L14" i="1"/>
  <c r="N14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N22" i="1" s="1"/>
  <c r="L23" i="1"/>
  <c r="N23" i="1" s="1"/>
  <c r="L24" i="1"/>
  <c r="N24" i="1" s="1"/>
  <c r="L25" i="1"/>
  <c r="N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L32" i="1"/>
  <c r="N32" i="1" s="1"/>
  <c r="L33" i="1"/>
  <c r="N33" i="1" s="1"/>
  <c r="L34" i="1"/>
  <c r="N34" i="1" s="1"/>
  <c r="L35" i="1"/>
  <c r="N35" i="1" s="1"/>
  <c r="L36" i="1"/>
  <c r="N36" i="1" s="1"/>
  <c r="L37" i="1"/>
  <c r="L38" i="1"/>
  <c r="N38" i="1" s="1"/>
  <c r="L39" i="1"/>
  <c r="N39" i="1" s="1"/>
  <c r="L40" i="1"/>
  <c r="N40" i="1" s="1"/>
  <c r="L41" i="1"/>
  <c r="N41" i="1" s="1"/>
  <c r="L42" i="1"/>
  <c r="N42" i="1" s="1"/>
  <c r="L43" i="1"/>
  <c r="N43" i="1" s="1"/>
  <c r="L44" i="1"/>
  <c r="N44" i="1" s="1"/>
  <c r="L45" i="1"/>
  <c r="N45" i="1" s="1"/>
  <c r="L46" i="1"/>
  <c r="N46" i="1" s="1"/>
  <c r="L47" i="1"/>
  <c r="N47" i="1" s="1"/>
  <c r="L48" i="1"/>
  <c r="L49" i="1"/>
  <c r="N49" i="1" s="1"/>
  <c r="L50" i="1"/>
  <c r="N50" i="1" s="1"/>
  <c r="L51" i="1"/>
  <c r="N51" i="1" s="1"/>
  <c r="L52" i="1"/>
  <c r="N52" i="1" s="1"/>
  <c r="L53" i="1"/>
  <c r="N53" i="1" s="1"/>
  <c r="L54" i="1"/>
  <c r="N54" i="1" s="1"/>
  <c r="L55" i="1"/>
  <c r="N55" i="1" s="1"/>
  <c r="L56" i="1"/>
  <c r="N56" i="1" s="1"/>
  <c r="L57" i="1"/>
  <c r="N57" i="1" s="1"/>
  <c r="L58" i="1"/>
  <c r="N58" i="1" s="1"/>
  <c r="L59" i="1"/>
  <c r="N59" i="1" s="1"/>
  <c r="L60" i="1"/>
  <c r="N60" i="1" s="1"/>
  <c r="L61" i="1"/>
  <c r="N61" i="1" s="1"/>
  <c r="L62" i="1"/>
  <c r="L63" i="1"/>
  <c r="N63" i="1" s="1"/>
  <c r="L64" i="1"/>
  <c r="N64" i="1" s="1"/>
  <c r="L65" i="1"/>
  <c r="N65" i="1" s="1"/>
  <c r="L66" i="1"/>
  <c r="N66" i="1" s="1"/>
  <c r="L67" i="1"/>
  <c r="N67" i="1" s="1"/>
  <c r="L68" i="1"/>
  <c r="N68" i="1" s="1"/>
  <c r="L69" i="1"/>
  <c r="N69" i="1" s="1"/>
  <c r="L70" i="1"/>
  <c r="N70" i="1" s="1"/>
  <c r="L71" i="1"/>
  <c r="N71" i="1" s="1"/>
  <c r="L72" i="1"/>
  <c r="N72" i="1" s="1"/>
  <c r="L73" i="1"/>
  <c r="L74" i="1"/>
  <c r="N74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N80" i="1" s="1"/>
  <c r="L81" i="1"/>
  <c r="N81" i="1" s="1"/>
  <c r="L82" i="1"/>
  <c r="N82" i="1" s="1"/>
  <c r="L83" i="1"/>
  <c r="N83" i="1" s="1"/>
  <c r="L84" i="1"/>
  <c r="L85" i="1"/>
  <c r="N85" i="1" s="1"/>
  <c r="L86" i="1"/>
  <c r="N86" i="1" s="1"/>
  <c r="L87" i="1"/>
  <c r="N87" i="1" s="1"/>
  <c r="L88" i="1"/>
  <c r="N88" i="1" s="1"/>
  <c r="L89" i="1"/>
  <c r="N89" i="1" s="1"/>
  <c r="L90" i="1"/>
  <c r="N90" i="1" s="1"/>
  <c r="L91" i="1"/>
  <c r="N91" i="1" s="1"/>
  <c r="L92" i="1"/>
  <c r="N92" i="1" s="1"/>
  <c r="L93" i="1"/>
  <c r="N93" i="1" s="1"/>
  <c r="L94" i="1"/>
  <c r="N94" i="1" s="1"/>
  <c r="L95" i="1"/>
  <c r="N95" i="1" s="1"/>
  <c r="L96" i="1"/>
  <c r="N96" i="1" s="1"/>
  <c r="L97" i="1"/>
  <c r="N97" i="1" s="1"/>
  <c r="L98" i="1"/>
  <c r="N98" i="1" s="1"/>
  <c r="L99" i="1"/>
  <c r="N99" i="1" s="1"/>
  <c r="L100" i="1"/>
  <c r="N100" i="1" s="1"/>
  <c r="L101" i="1"/>
  <c r="N101" i="1" s="1"/>
  <c r="L102" i="1"/>
  <c r="N102" i="1" s="1"/>
  <c r="L103" i="1"/>
  <c r="N103" i="1" s="1"/>
  <c r="L104" i="1"/>
  <c r="N104" i="1" s="1"/>
  <c r="L105" i="1"/>
  <c r="N105" i="1" s="1"/>
  <c r="L106" i="1"/>
  <c r="N106" i="1" s="1"/>
  <c r="L107" i="1"/>
  <c r="L108" i="1"/>
  <c r="N108" i="1" s="1"/>
  <c r="L109" i="1"/>
  <c r="N109" i="1" s="1"/>
  <c r="L110" i="1"/>
  <c r="N110" i="1" s="1"/>
  <c r="L111" i="1"/>
  <c r="N111" i="1" s="1"/>
  <c r="L112" i="1"/>
  <c r="N112" i="1" s="1"/>
  <c r="L113" i="1"/>
  <c r="N113" i="1" s="1"/>
  <c r="L114" i="1"/>
  <c r="N114" i="1" s="1"/>
  <c r="L115" i="1"/>
  <c r="N115" i="1" s="1"/>
  <c r="L116" i="1"/>
  <c r="N116" i="1" s="1"/>
  <c r="L117" i="1"/>
  <c r="N117" i="1" s="1"/>
  <c r="L118" i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27" i="1"/>
  <c r="N127" i="1" s="1"/>
  <c r="L128" i="1"/>
  <c r="N128" i="1" s="1"/>
  <c r="L129" i="1"/>
  <c r="N129" i="1" s="1"/>
  <c r="L130" i="1"/>
  <c r="N130" i="1" s="1"/>
  <c r="L131" i="1"/>
  <c r="N131" i="1" s="1"/>
  <c r="L132" i="1"/>
  <c r="N132" i="1" s="1"/>
  <c r="L133" i="1"/>
  <c r="N133" i="1" s="1"/>
  <c r="L134" i="1"/>
  <c r="N134" i="1" s="1"/>
  <c r="L135" i="1"/>
  <c r="N135" i="1" s="1"/>
  <c r="L136" i="1"/>
  <c r="N136" i="1" s="1"/>
  <c r="L137" i="1"/>
  <c r="N137" i="1" s="1"/>
  <c r="L138" i="1"/>
  <c r="N138" i="1" s="1"/>
  <c r="L139" i="1"/>
  <c r="N139" i="1" s="1"/>
  <c r="L140" i="1"/>
  <c r="N140" i="1" s="1"/>
  <c r="L141" i="1"/>
  <c r="N141" i="1" s="1"/>
  <c r="L142" i="1"/>
  <c r="N142" i="1" s="1"/>
  <c r="L143" i="1"/>
  <c r="N143" i="1" s="1"/>
  <c r="L144" i="1"/>
  <c r="N144" i="1" s="1"/>
  <c r="L145" i="1"/>
  <c r="N145" i="1" s="1"/>
  <c r="L146" i="1"/>
  <c r="N146" i="1" s="1"/>
  <c r="L147" i="1"/>
  <c r="N147" i="1" s="1"/>
  <c r="L148" i="1"/>
  <c r="N148" i="1" s="1"/>
  <c r="L149" i="1"/>
  <c r="N149" i="1" s="1"/>
  <c r="L150" i="1"/>
  <c r="N150" i="1" s="1"/>
  <c r="L151" i="1"/>
  <c r="N151" i="1" s="1"/>
  <c r="L152" i="1"/>
  <c r="N152" i="1" s="1"/>
  <c r="L153" i="1"/>
  <c r="N153" i="1" s="1"/>
  <c r="L154" i="1"/>
  <c r="N154" i="1" s="1"/>
  <c r="L155" i="1"/>
  <c r="N155" i="1" s="1"/>
  <c r="L156" i="1"/>
  <c r="N156" i="1" s="1"/>
  <c r="L157" i="1"/>
  <c r="N157" i="1" s="1"/>
  <c r="L158" i="1"/>
  <c r="N158" i="1" s="1"/>
  <c r="L159" i="1"/>
  <c r="N159" i="1" s="1"/>
  <c r="L160" i="1"/>
  <c r="N160" i="1" s="1"/>
  <c r="L161" i="1"/>
  <c r="N161" i="1" s="1"/>
  <c r="L162" i="1"/>
  <c r="N162" i="1" s="1"/>
  <c r="L163" i="1"/>
  <c r="N163" i="1" s="1"/>
  <c r="L164" i="1"/>
  <c r="N164" i="1" s="1"/>
  <c r="L165" i="1"/>
  <c r="N165" i="1" s="1"/>
  <c r="L166" i="1"/>
  <c r="N166" i="1" s="1"/>
  <c r="L167" i="1"/>
  <c r="N167" i="1" s="1"/>
  <c r="L168" i="1"/>
  <c r="N168" i="1" s="1"/>
  <c r="L169" i="1"/>
  <c r="N169" i="1" s="1"/>
  <c r="L170" i="1"/>
  <c r="N170" i="1" s="1"/>
  <c r="L171" i="1"/>
  <c r="N171" i="1" s="1"/>
  <c r="L172" i="1"/>
  <c r="N172" i="1" s="1"/>
  <c r="L173" i="1"/>
  <c r="N173" i="1" s="1"/>
  <c r="L3" i="1"/>
  <c r="N3" i="1" s="1"/>
  <c r="L4" i="1"/>
  <c r="N4" i="1" s="1"/>
  <c r="L2" i="1"/>
  <c r="N2" i="1" s="1"/>
  <c r="N84" i="1" l="1"/>
  <c r="N62" i="1"/>
  <c r="N73" i="1"/>
  <c r="N107" i="1"/>
  <c r="N118" i="1"/>
  <c r="N37" i="1"/>
  <c r="N48" i="1"/>
  <c r="O177" i="1"/>
</calcChain>
</file>

<file path=xl/sharedStrings.xml><?xml version="1.0" encoding="utf-8"?>
<sst xmlns="http://purl.oclc.org/ooxml/spreadsheetml/main" count="305" uniqueCount="97">
  <si>
    <t>layer</t>
  </si>
  <si>
    <t>fire rate</t>
  </si>
  <si>
    <t>C_in</t>
  </si>
  <si>
    <t>C_out</t>
  </si>
  <si>
    <t>H_out</t>
  </si>
  <si>
    <t xml:space="preserve">   K_h</t>
  </si>
  <si>
    <t>strdie</t>
  </si>
  <si>
    <t>padding</t>
  </si>
  <si>
    <t>T</t>
  </si>
  <si>
    <t>FLOPS_MAC</t>
  </si>
  <si>
    <t>E</t>
  </si>
  <si>
    <t>engery</t>
  </si>
  <si>
    <t xml:space="preserve"> 32, 176, 176, 7,7 2, 3)</t>
  </si>
  <si>
    <t>SepConv_Spike pwconv1 spike1</t>
  </si>
  <si>
    <t>(32, 32*2, 176, 176, 1,1 1, 0)</t>
  </si>
  <si>
    <t>SepConv_Spike dwconv spike2</t>
  </si>
  <si>
    <t>(32*2, 32*2, 176, 176, 7,7 1, 3)</t>
  </si>
  <si>
    <t>SepConv_Spike pwconv2 spike3</t>
  </si>
  <si>
    <t>(32*2, 32, 176, 176, 1,1 1, 0)</t>
  </si>
  <si>
    <t>MS_ConvBlock_spike_SepConv spike1</t>
  </si>
  <si>
    <t>(32, 32*4, 176, 176, 3,3 1, 1)</t>
  </si>
  <si>
    <t>MS_ConvBlock_spike_SepConv spike2</t>
  </si>
  <si>
    <t>(32*4, 32,  176, 176, 3,3 1, 1)</t>
  </si>
  <si>
    <t>x1</t>
  </si>
  <si>
    <t>MS_DownSampling encode_spike</t>
  </si>
  <si>
    <t>(32, 64,  88,88,  3,3,2,1)</t>
  </si>
  <si>
    <t>(64, 64*2,  88,88,  ,1,1, 1,0)</t>
  </si>
  <si>
    <t>(64*2, 64*2, 88,88, 7,7, 1,3)</t>
  </si>
  <si>
    <t>(64*2, 64,  88,88,  ,1,1, 1,0)</t>
  </si>
  <si>
    <t>(64, 64*4,  88,88, 3,3 1, 1)</t>
  </si>
  <si>
    <t>(64*4, 64,  88,88, 3,3 1, 1)</t>
  </si>
  <si>
    <t>x2</t>
  </si>
  <si>
    <t>(64, 128, 44, 44, 3,3, 2, 1)</t>
  </si>
  <si>
    <t>(128, 128*2, 44, 44, ,1,1, 1,0)</t>
  </si>
  <si>
    <t>(128*2, 128*2, 44, 44, ,7,7, 1,3)</t>
  </si>
  <si>
    <t>(128*2, 128, 44, 44, ,1,1, 1,0)</t>
  </si>
  <si>
    <t>(128, 128*4,  88,88, 3,3 1, 1)</t>
  </si>
  <si>
    <t>(128*4, 128,  88,88, 3,3 1, 1)</t>
  </si>
  <si>
    <t>x3</t>
  </si>
  <si>
    <t>(128, 256, 22, 22, 3,3, 2, 1)</t>
  </si>
  <si>
    <t>(256, 256*2, 22, 22 ,1,1, 1,0)</t>
  </si>
  <si>
    <t>(256*2, 256*2, 22, 22, ,7,7, 1,3)</t>
  </si>
  <si>
    <t>(256*2, 256, 22, 22, ,1,1, 1,0)</t>
  </si>
  <si>
    <t>MS_Attention_linear head_spike</t>
  </si>
  <si>
    <t>无</t>
  </si>
  <si>
    <t>MS_Attention_linear q_spike</t>
  </si>
  <si>
    <t>(256, 256, 22, 22 ,1,1, 1,0)</t>
  </si>
  <si>
    <t>MS_Attention_linear k_spike</t>
  </si>
  <si>
    <t>MS_Attention_linear v_spike</t>
  </si>
  <si>
    <t>(256, 256*4, 22, 22 ,1,1, 1,0)</t>
  </si>
  <si>
    <t>Q*K*V_T</t>
  </si>
  <si>
    <t>(22*22)*(256*4)^2</t>
  </si>
  <si>
    <t>MS_Attention_linear attn_spike</t>
  </si>
  <si>
    <t>(256*4,256, 22, 22 ,1,1, 1,0</t>
  </si>
  <si>
    <t>MS_MLP fc1_spike</t>
  </si>
  <si>
    <t>=（256,22*22）</t>
  </si>
  <si>
    <t>MS_MLP fc2_spike</t>
  </si>
  <si>
    <t>(22*22)*(256*4)^2
22*22*256*4*256*4</t>
  </si>
  <si>
    <t>(256, 320, 22, 22, 3,3, 2, 1)</t>
  </si>
  <si>
    <t>(320, 320*2, 22, 22 ,1,1, 1,0)</t>
  </si>
  <si>
    <t>(320*2, 320*2, 22, 22, ,7,7, 1,3)</t>
  </si>
  <si>
    <t>(320*2, 320, 22, 22, ,1,1, 1,0)</t>
  </si>
  <si>
    <t>(320, 320, 22, 22 ,1,1, 1,0)</t>
  </si>
  <si>
    <t>(320, 320*4, 22, 22 ,1,1, 1,0)</t>
  </si>
  <si>
    <t>(22*22)*(320*4)^2</t>
  </si>
  <si>
    <t>320*4,320, 22, 22 ,1,1, 1,0</t>
  </si>
  <si>
    <t>（320,22*22）</t>
  </si>
  <si>
    <t>(320*4,320, 22, 22 ,1,1, 1,0</t>
  </si>
  <si>
    <t>x4</t>
  </si>
  <si>
    <t>cab4_sfa</t>
  </si>
  <si>
    <t>320, 20, 1,1, 1,1, 1,0</t>
  </si>
  <si>
    <t>20,320, 1,1, 1,1, 1,0</t>
  </si>
  <si>
    <t>SMCB pconv1</t>
  </si>
  <si>
    <t>SMCB dwconv</t>
  </si>
  <si>
    <t>SMCB pconv2</t>
  </si>
  <si>
    <t>(320,320,44,44,3,3, 1,1)</t>
  </si>
  <si>
    <t>320,128, 44,44, 1,1, 1,0</t>
  </si>
  <si>
    <t>cab3_sfa</t>
  </si>
  <si>
    <t>(128,8, 1,1, 1,1, 1,0)</t>
  </si>
  <si>
    <t>(8,128, 1,1, 1,1, 1,0)</t>
  </si>
  <si>
    <t>(128,128,88,88,3,3,1,1)</t>
  </si>
  <si>
    <t>(128,64,88,88,1,1, 1,0</t>
  </si>
  <si>
    <t>cab2_sfa</t>
  </si>
  <si>
    <t>(64,4, 1,1, 1,1, 1,0)</t>
  </si>
  <si>
    <t>(4,64, 1,1, 1,1, 1,0)</t>
  </si>
  <si>
    <t>128,128,176,176,3,3,1,1)</t>
  </si>
  <si>
    <t>(128,64,176,176,1,1, 1,0</t>
  </si>
  <si>
    <t>(32,2, 1,1, 1,1, 1,0)</t>
  </si>
  <si>
    <t>(2,32, 1,1, 1,1, 1,0)</t>
  </si>
  <si>
    <t>torch.Size([1, 32, 176, 176])</t>
  </si>
  <si>
    <t>Total energy</t>
    <phoneticPr fontId="18" type="noConversion"/>
  </si>
  <si>
    <t>SUCB up_dwc[1]</t>
    <phoneticPr fontId="18" type="noConversion"/>
  </si>
  <si>
    <t>SUCB up_dwc[4]</t>
    <phoneticPr fontId="18" type="noConversion"/>
  </si>
  <si>
    <t>SCAB fc1</t>
    <phoneticPr fontId="18" type="noConversion"/>
  </si>
  <si>
    <t>SCAB fc2</t>
    <phoneticPr fontId="18" type="noConversion"/>
  </si>
  <si>
    <t>SCAB fc3</t>
    <phoneticPr fontId="18" type="noConversion"/>
  </si>
  <si>
    <t>SCAB fc4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</si>
</sst>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54B1-78AA-440C-B7E7-A61890F32BC9}">
  <dimension ref="A1:O182"/>
  <sheetViews>
    <sheetView tabSelected="1" topLeftCell="A141" zoomScale="85" zoomScaleNormal="85" workbookViewId="0">
      <selection activeCell="L181" sqref="L181"/>
    </sheetView>
  </sheetViews>
  <sheetFormatPr defaultRowHeight="13.9" x14ac:dyDescent="0.4"/>
  <cols>
    <col min="1" max="1" width="36.59765625" customWidth="1"/>
    <col min="4" max="4" width="16.3984375" customWidth="1"/>
    <col min="12" max="12" width="10.06640625" bestFit="1" customWidth="1"/>
    <col min="14" max="14" width="12.19921875" bestFit="1" customWidth="1"/>
    <col min="15" max="15" width="26.19921875" customWidth="1"/>
  </cols>
  <sheetData>
    <row r="1" spans="1:14" x14ac:dyDescent="0.4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  <c r="N1" t="s">
        <v>11</v>
      </c>
    </row>
    <row r="2" spans="1:14" x14ac:dyDescent="0.4">
      <c r="B2">
        <v>1</v>
      </c>
      <c r="C2" t="s">
        <v>12</v>
      </c>
      <c r="D2">
        <v>3</v>
      </c>
      <c r="E2">
        <v>32</v>
      </c>
      <c r="F2">
        <v>176</v>
      </c>
      <c r="G2">
        <v>7</v>
      </c>
      <c r="H2">
        <v>2</v>
      </c>
      <c r="I2">
        <v>3</v>
      </c>
      <c r="J2">
        <v>1</v>
      </c>
      <c r="K2">
        <v>0</v>
      </c>
      <c r="L2">
        <f>D2*E2*F2*F2*G2*G2</f>
        <v>145711104</v>
      </c>
      <c r="M2">
        <v>4.5999999999999996</v>
      </c>
      <c r="N2">
        <f>L2*J2*B2*M2</f>
        <v>670271078.39999998</v>
      </c>
    </row>
    <row r="3" spans="1:14" x14ac:dyDescent="0.4">
      <c r="A3" t="s">
        <v>13</v>
      </c>
      <c r="B3">
        <v>8.4108419996499997E-2</v>
      </c>
      <c r="C3" t="s">
        <v>14</v>
      </c>
      <c r="D3">
        <v>32</v>
      </c>
      <c r="E3">
        <v>64</v>
      </c>
      <c r="F3">
        <v>176</v>
      </c>
      <c r="G3">
        <v>3</v>
      </c>
      <c r="H3">
        <v>1</v>
      </c>
      <c r="I3">
        <v>3</v>
      </c>
      <c r="J3">
        <v>4</v>
      </c>
      <c r="L3">
        <f t="shared" ref="L3:L63" si="0">D3*E3*F3*F3*G3*G3</f>
        <v>570949632</v>
      </c>
      <c r="M3">
        <v>0.9</v>
      </c>
      <c r="N3">
        <f t="shared" ref="N3:N63" si="1">L3*J3*B3*M3</f>
        <v>172878017.20237121</v>
      </c>
    </row>
    <row r="4" spans="1:14" x14ac:dyDescent="0.4">
      <c r="A4" t="s">
        <v>15</v>
      </c>
      <c r="B4">
        <v>8.8038382430000006E-2</v>
      </c>
      <c r="C4" t="s">
        <v>16</v>
      </c>
      <c r="D4">
        <v>1</v>
      </c>
      <c r="E4">
        <v>64</v>
      </c>
      <c r="F4">
        <v>176</v>
      </c>
      <c r="G4">
        <v>7</v>
      </c>
      <c r="H4">
        <v>1</v>
      </c>
      <c r="I4">
        <v>3</v>
      </c>
      <c r="J4">
        <v>4</v>
      </c>
      <c r="L4">
        <f t="shared" si="0"/>
        <v>97140736</v>
      </c>
      <c r="M4">
        <v>0.9</v>
      </c>
      <c r="N4">
        <f t="shared" si="1"/>
        <v>30787607.755798806</v>
      </c>
    </row>
    <row r="5" spans="1:14" x14ac:dyDescent="0.4">
      <c r="A5" t="s">
        <v>17</v>
      </c>
      <c r="B5">
        <v>8.05638596199999E-2</v>
      </c>
      <c r="C5" t="s">
        <v>18</v>
      </c>
      <c r="D5">
        <v>64</v>
      </c>
      <c r="E5">
        <v>32</v>
      </c>
      <c r="F5">
        <v>176</v>
      </c>
      <c r="G5">
        <v>1</v>
      </c>
      <c r="H5">
        <v>1</v>
      </c>
      <c r="I5">
        <v>0</v>
      </c>
      <c r="J5">
        <v>4</v>
      </c>
      <c r="L5">
        <f t="shared" si="0"/>
        <v>63438848</v>
      </c>
      <c r="M5">
        <v>0.9</v>
      </c>
      <c r="N5">
        <f t="shared" si="1"/>
        <v>18399162.401015442</v>
      </c>
    </row>
    <row r="6" spans="1:14" x14ac:dyDescent="0.4">
      <c r="A6" t="s">
        <v>19</v>
      </c>
      <c r="B6">
        <v>0.13722931735499999</v>
      </c>
      <c r="C6" t="s">
        <v>20</v>
      </c>
      <c r="D6">
        <v>32</v>
      </c>
      <c r="E6">
        <v>128</v>
      </c>
      <c r="F6">
        <v>176</v>
      </c>
      <c r="G6">
        <v>3</v>
      </c>
      <c r="H6">
        <v>1</v>
      </c>
      <c r="I6">
        <v>1</v>
      </c>
      <c r="J6">
        <v>4</v>
      </c>
      <c r="L6">
        <f t="shared" si="0"/>
        <v>1141899264</v>
      </c>
      <c r="M6">
        <v>0.9</v>
      </c>
      <c r="N6">
        <f t="shared" si="1"/>
        <v>564127403.35282886</v>
      </c>
    </row>
    <row r="7" spans="1:14" x14ac:dyDescent="0.4">
      <c r="A7" t="s">
        <v>21</v>
      </c>
      <c r="B7">
        <v>8.4942384180000094E-2</v>
      </c>
      <c r="C7" t="s">
        <v>22</v>
      </c>
      <c r="D7">
        <v>128</v>
      </c>
      <c r="E7">
        <v>32</v>
      </c>
      <c r="F7">
        <v>176</v>
      </c>
      <c r="G7">
        <v>3</v>
      </c>
      <c r="H7">
        <v>1</v>
      </c>
      <c r="I7">
        <v>1</v>
      </c>
      <c r="J7">
        <v>4</v>
      </c>
      <c r="L7">
        <f t="shared" si="0"/>
        <v>1141899264</v>
      </c>
      <c r="M7">
        <v>0.9</v>
      </c>
      <c r="N7">
        <f t="shared" si="1"/>
        <v>349184325.51917046</v>
      </c>
    </row>
    <row r="8" spans="1:14" x14ac:dyDescent="0.4">
      <c r="A8" t="s">
        <v>23</v>
      </c>
      <c r="L8">
        <f t="shared" si="0"/>
        <v>0</v>
      </c>
      <c r="M8">
        <v>0.9</v>
      </c>
      <c r="N8">
        <f t="shared" si="1"/>
        <v>0</v>
      </c>
    </row>
    <row r="9" spans="1:14" x14ac:dyDescent="0.4">
      <c r="A9" t="s">
        <v>24</v>
      </c>
      <c r="B9">
        <v>0.18326127380000001</v>
      </c>
      <c r="C9" t="s">
        <v>25</v>
      </c>
      <c r="D9">
        <v>32</v>
      </c>
      <c r="E9">
        <v>64</v>
      </c>
      <c r="F9">
        <v>88</v>
      </c>
      <c r="G9">
        <v>3</v>
      </c>
      <c r="H9">
        <v>2</v>
      </c>
      <c r="I9">
        <v>1</v>
      </c>
      <c r="J9">
        <v>4</v>
      </c>
      <c r="L9">
        <f t="shared" si="0"/>
        <v>142737408</v>
      </c>
      <c r="M9">
        <v>0.9</v>
      </c>
      <c r="N9">
        <f t="shared" si="1"/>
        <v>94169661.152365133</v>
      </c>
    </row>
    <row r="10" spans="1:14" x14ac:dyDescent="0.4">
      <c r="A10" t="s">
        <v>13</v>
      </c>
      <c r="B10">
        <v>9.5943479464999995E-2</v>
      </c>
      <c r="C10" t="s">
        <v>26</v>
      </c>
      <c r="D10">
        <v>64</v>
      </c>
      <c r="E10">
        <v>128</v>
      </c>
      <c r="F10">
        <v>88</v>
      </c>
      <c r="G10">
        <v>1</v>
      </c>
      <c r="H10">
        <v>1</v>
      </c>
      <c r="I10">
        <v>0</v>
      </c>
      <c r="J10">
        <v>4</v>
      </c>
      <c r="L10">
        <f t="shared" si="0"/>
        <v>63438848</v>
      </c>
      <c r="M10">
        <v>0.9</v>
      </c>
      <c r="N10">
        <f t="shared" si="1"/>
        <v>21911557.717336524</v>
      </c>
    </row>
    <row r="11" spans="1:14" x14ac:dyDescent="0.4">
      <c r="A11" t="s">
        <v>15</v>
      </c>
      <c r="B11">
        <v>9.2240522500000005E-2</v>
      </c>
      <c r="C11" t="s">
        <v>27</v>
      </c>
      <c r="D11">
        <v>1</v>
      </c>
      <c r="E11">
        <v>128</v>
      </c>
      <c r="F11">
        <v>88</v>
      </c>
      <c r="G11">
        <v>7</v>
      </c>
      <c r="H11">
        <v>1</v>
      </c>
      <c r="I11">
        <v>3</v>
      </c>
      <c r="J11">
        <v>4</v>
      </c>
      <c r="L11">
        <f t="shared" si="0"/>
        <v>48570368</v>
      </c>
      <c r="M11">
        <v>0.9</v>
      </c>
      <c r="N11">
        <f t="shared" si="1"/>
        <v>16128562.040414209</v>
      </c>
    </row>
    <row r="12" spans="1:14" x14ac:dyDescent="0.4">
      <c r="A12" t="s">
        <v>17</v>
      </c>
      <c r="B12">
        <v>8.5539762840000005E-2</v>
      </c>
      <c r="C12" t="s">
        <v>28</v>
      </c>
      <c r="D12">
        <v>128</v>
      </c>
      <c r="E12">
        <v>64</v>
      </c>
      <c r="F12">
        <v>88</v>
      </c>
      <c r="G12">
        <v>1</v>
      </c>
      <c r="H12">
        <v>1</v>
      </c>
      <c r="I12">
        <v>0</v>
      </c>
      <c r="J12">
        <v>4</v>
      </c>
      <c r="L12">
        <f t="shared" si="0"/>
        <v>63438848</v>
      </c>
      <c r="M12">
        <v>0.9</v>
      </c>
      <c r="N12">
        <f t="shared" si="1"/>
        <v>19535558.445946109</v>
      </c>
    </row>
    <row r="13" spans="1:14" x14ac:dyDescent="0.4">
      <c r="A13" t="s">
        <v>19</v>
      </c>
      <c r="B13">
        <v>0.135451441245</v>
      </c>
      <c r="C13" t="s">
        <v>29</v>
      </c>
      <c r="D13">
        <v>64</v>
      </c>
      <c r="E13">
        <v>256</v>
      </c>
      <c r="F13">
        <v>88</v>
      </c>
      <c r="G13">
        <v>3</v>
      </c>
      <c r="H13">
        <v>1</v>
      </c>
      <c r="I13">
        <v>1</v>
      </c>
      <c r="J13">
        <v>4</v>
      </c>
      <c r="L13">
        <f t="shared" si="0"/>
        <v>1141899264</v>
      </c>
      <c r="M13">
        <v>0.9</v>
      </c>
      <c r="N13">
        <f t="shared" si="1"/>
        <v>556818843.83545709</v>
      </c>
    </row>
    <row r="14" spans="1:14" x14ac:dyDescent="0.4">
      <c r="A14" t="s">
        <v>21</v>
      </c>
      <c r="B14">
        <v>8.6263382560000004E-2</v>
      </c>
      <c r="C14" t="s">
        <v>30</v>
      </c>
      <c r="D14">
        <v>256</v>
      </c>
      <c r="E14">
        <v>64</v>
      </c>
      <c r="F14">
        <v>88</v>
      </c>
      <c r="G14">
        <v>3</v>
      </c>
      <c r="H14">
        <v>1</v>
      </c>
      <c r="I14">
        <v>1</v>
      </c>
      <c r="J14">
        <v>4</v>
      </c>
      <c r="L14">
        <f t="shared" si="0"/>
        <v>1141899264</v>
      </c>
      <c r="M14">
        <v>0.9</v>
      </c>
      <c r="N14">
        <f t="shared" si="1"/>
        <v>354614734.99949199</v>
      </c>
    </row>
    <row r="15" spans="1:14" x14ac:dyDescent="0.4">
      <c r="A15" t="s">
        <v>31</v>
      </c>
      <c r="L15">
        <f t="shared" si="0"/>
        <v>0</v>
      </c>
      <c r="M15">
        <v>0.9</v>
      </c>
      <c r="N15">
        <f t="shared" si="1"/>
        <v>0</v>
      </c>
    </row>
    <row r="16" spans="1:14" x14ac:dyDescent="0.4">
      <c r="A16" t="s">
        <v>24</v>
      </c>
      <c r="B16">
        <v>0.17986418344999899</v>
      </c>
      <c r="C16" t="s">
        <v>32</v>
      </c>
      <c r="D16">
        <v>64</v>
      </c>
      <c r="E16">
        <v>128</v>
      </c>
      <c r="F16">
        <v>44</v>
      </c>
      <c r="G16">
        <v>3</v>
      </c>
      <c r="H16">
        <v>2</v>
      </c>
      <c r="I16">
        <v>1</v>
      </c>
      <c r="J16">
        <v>4</v>
      </c>
      <c r="L16">
        <f t="shared" si="0"/>
        <v>142737408</v>
      </c>
      <c r="M16">
        <v>0.9</v>
      </c>
      <c r="N16">
        <f t="shared" si="1"/>
        <v>92424050.415681675</v>
      </c>
    </row>
    <row r="17" spans="1:14" x14ac:dyDescent="0.4">
      <c r="A17" t="s">
        <v>13</v>
      </c>
      <c r="B17">
        <v>8.9915847204999996E-2</v>
      </c>
      <c r="C17" t="s">
        <v>33</v>
      </c>
      <c r="D17">
        <v>128</v>
      </c>
      <c r="E17">
        <v>256</v>
      </c>
      <c r="F17">
        <v>44</v>
      </c>
      <c r="G17">
        <v>1</v>
      </c>
      <c r="H17">
        <v>1</v>
      </c>
      <c r="I17">
        <v>0</v>
      </c>
      <c r="J17">
        <v>4</v>
      </c>
      <c r="L17">
        <f t="shared" si="0"/>
        <v>63438848</v>
      </c>
      <c r="M17">
        <v>0.9</v>
      </c>
      <c r="N17">
        <f t="shared" si="1"/>
        <v>20534967.94906519</v>
      </c>
    </row>
    <row r="18" spans="1:14" x14ac:dyDescent="0.4">
      <c r="A18" t="s">
        <v>15</v>
      </c>
      <c r="B18">
        <v>9.1688048440000003E-2</v>
      </c>
      <c r="C18" t="s">
        <v>34</v>
      </c>
      <c r="D18">
        <v>1</v>
      </c>
      <c r="E18">
        <v>256</v>
      </c>
      <c r="F18">
        <v>44</v>
      </c>
      <c r="G18">
        <v>7</v>
      </c>
      <c r="H18">
        <v>1</v>
      </c>
      <c r="I18">
        <v>3</v>
      </c>
      <c r="J18">
        <v>4</v>
      </c>
      <c r="L18">
        <f t="shared" si="0"/>
        <v>24285184</v>
      </c>
      <c r="M18">
        <v>0.9</v>
      </c>
      <c r="N18">
        <f t="shared" si="1"/>
        <v>8015980.0570787266</v>
      </c>
    </row>
    <row r="19" spans="1:14" x14ac:dyDescent="0.4">
      <c r="A19" t="s">
        <v>17</v>
      </c>
      <c r="B19">
        <v>8.2156657179999995E-2</v>
      </c>
      <c r="C19" t="s">
        <v>35</v>
      </c>
      <c r="D19">
        <v>256</v>
      </c>
      <c r="E19">
        <v>128</v>
      </c>
      <c r="F19">
        <v>44</v>
      </c>
      <c r="G19">
        <v>1</v>
      </c>
      <c r="H19">
        <v>1</v>
      </c>
      <c r="I19">
        <v>0</v>
      </c>
      <c r="J19">
        <v>4</v>
      </c>
      <c r="L19">
        <f t="shared" si="0"/>
        <v>63438848</v>
      </c>
      <c r="M19">
        <v>0.9</v>
      </c>
      <c r="N19">
        <f t="shared" si="1"/>
        <v>18762925.273308463</v>
      </c>
    </row>
    <row r="20" spans="1:14" x14ac:dyDescent="0.4">
      <c r="A20" t="s">
        <v>19</v>
      </c>
      <c r="B20">
        <v>0.121502146284999</v>
      </c>
      <c r="C20" t="s">
        <v>36</v>
      </c>
      <c r="D20">
        <v>128</v>
      </c>
      <c r="E20">
        <v>512</v>
      </c>
      <c r="F20">
        <v>44</v>
      </c>
      <c r="G20">
        <v>3</v>
      </c>
      <c r="H20">
        <v>1</v>
      </c>
      <c r="I20">
        <v>1</v>
      </c>
      <c r="J20">
        <v>4</v>
      </c>
      <c r="L20">
        <f t="shared" si="0"/>
        <v>1141899264</v>
      </c>
      <c r="M20">
        <v>0.9</v>
      </c>
      <c r="N20">
        <f t="shared" si="1"/>
        <v>499475561.10213858</v>
      </c>
    </row>
    <row r="21" spans="1:14" x14ac:dyDescent="0.4">
      <c r="A21" t="s">
        <v>21</v>
      </c>
      <c r="B21">
        <v>8.3166671744999907E-2</v>
      </c>
      <c r="C21" t="s">
        <v>37</v>
      </c>
      <c r="D21">
        <v>512</v>
      </c>
      <c r="E21">
        <v>128</v>
      </c>
      <c r="F21">
        <v>44</v>
      </c>
      <c r="G21">
        <v>3</v>
      </c>
      <c r="H21">
        <v>1</v>
      </c>
      <c r="I21">
        <v>1</v>
      </c>
      <c r="J21">
        <v>4</v>
      </c>
      <c r="L21">
        <f t="shared" si="0"/>
        <v>1141899264</v>
      </c>
      <c r="M21">
        <v>0.9</v>
      </c>
      <c r="N21">
        <f t="shared" si="1"/>
        <v>341884660.517802</v>
      </c>
    </row>
    <row r="22" spans="1:14" x14ac:dyDescent="0.4">
      <c r="J22">
        <v>4</v>
      </c>
      <c r="L22">
        <f t="shared" si="0"/>
        <v>0</v>
      </c>
      <c r="M22">
        <v>0.9</v>
      </c>
      <c r="N22">
        <f t="shared" si="1"/>
        <v>0</v>
      </c>
    </row>
    <row r="23" spans="1:14" x14ac:dyDescent="0.4">
      <c r="A23" t="s">
        <v>13</v>
      </c>
      <c r="B23">
        <v>0.15850640925000001</v>
      </c>
      <c r="C23" t="s">
        <v>33</v>
      </c>
      <c r="D23">
        <v>128</v>
      </c>
      <c r="E23">
        <v>256</v>
      </c>
      <c r="F23">
        <v>44</v>
      </c>
      <c r="G23">
        <v>1</v>
      </c>
      <c r="H23">
        <v>1</v>
      </c>
      <c r="I23">
        <v>0</v>
      </c>
      <c r="J23">
        <v>4</v>
      </c>
      <c r="L23">
        <f t="shared" si="0"/>
        <v>63438848</v>
      </c>
      <c r="M23">
        <v>0.9</v>
      </c>
      <c r="N23">
        <f t="shared" si="1"/>
        <v>36199670.412371561</v>
      </c>
    </row>
    <row r="24" spans="1:14" x14ac:dyDescent="0.4">
      <c r="A24" t="s">
        <v>15</v>
      </c>
      <c r="B24">
        <v>9.0877436160000005E-2</v>
      </c>
      <c r="C24" t="s">
        <v>34</v>
      </c>
      <c r="D24">
        <v>1</v>
      </c>
      <c r="E24">
        <v>256</v>
      </c>
      <c r="F24">
        <v>44</v>
      </c>
      <c r="G24">
        <v>7</v>
      </c>
      <c r="H24">
        <v>1</v>
      </c>
      <c r="I24">
        <v>3</v>
      </c>
      <c r="J24">
        <v>4</v>
      </c>
      <c r="L24">
        <f t="shared" si="0"/>
        <v>24285184</v>
      </c>
      <c r="M24">
        <v>0.9</v>
      </c>
      <c r="N24">
        <f t="shared" si="1"/>
        <v>7945110.9309378732</v>
      </c>
    </row>
    <row r="25" spans="1:14" x14ac:dyDescent="0.4">
      <c r="A25" t="s">
        <v>17</v>
      </c>
      <c r="B25">
        <v>8.6839231119999999E-2</v>
      </c>
      <c r="C25" t="s">
        <v>35</v>
      </c>
      <c r="D25">
        <v>256</v>
      </c>
      <c r="E25">
        <v>128</v>
      </c>
      <c r="F25">
        <v>44</v>
      </c>
      <c r="G25">
        <v>1</v>
      </c>
      <c r="H25">
        <v>1</v>
      </c>
      <c r="I25">
        <v>0</v>
      </c>
      <c r="J25">
        <v>4</v>
      </c>
      <c r="L25">
        <f t="shared" si="0"/>
        <v>63438848</v>
      </c>
      <c r="M25">
        <v>0.9</v>
      </c>
      <c r="N25">
        <f t="shared" si="1"/>
        <v>19832330.820450779</v>
      </c>
    </row>
    <row r="26" spans="1:14" x14ac:dyDescent="0.4">
      <c r="A26" t="s">
        <v>19</v>
      </c>
      <c r="B26">
        <v>0.19175351039999899</v>
      </c>
      <c r="C26" t="s">
        <v>36</v>
      </c>
      <c r="D26">
        <v>128</v>
      </c>
      <c r="E26">
        <v>512</v>
      </c>
      <c r="F26">
        <v>44</v>
      </c>
      <c r="G26">
        <v>3</v>
      </c>
      <c r="H26">
        <v>1</v>
      </c>
      <c r="I26">
        <v>1</v>
      </c>
      <c r="J26">
        <v>4</v>
      </c>
      <c r="L26">
        <f t="shared" si="0"/>
        <v>1141899264</v>
      </c>
      <c r="M26">
        <v>0.9</v>
      </c>
      <c r="N26">
        <f t="shared" si="1"/>
        <v>788267492.62263072</v>
      </c>
    </row>
    <row r="27" spans="1:14" x14ac:dyDescent="0.4">
      <c r="A27" t="s">
        <v>21</v>
      </c>
      <c r="B27">
        <v>8.7070690789999905E-2</v>
      </c>
      <c r="C27" t="s">
        <v>37</v>
      </c>
      <c r="D27">
        <v>512</v>
      </c>
      <c r="E27">
        <v>128</v>
      </c>
      <c r="F27">
        <v>44</v>
      </c>
      <c r="G27">
        <v>3</v>
      </c>
      <c r="H27">
        <v>1</v>
      </c>
      <c r="I27">
        <v>1</v>
      </c>
      <c r="J27">
        <v>4</v>
      </c>
      <c r="L27">
        <f t="shared" si="0"/>
        <v>1141899264</v>
      </c>
      <c r="M27">
        <v>0.9</v>
      </c>
      <c r="N27">
        <f t="shared" si="1"/>
        <v>357933447.8246609</v>
      </c>
    </row>
    <row r="28" spans="1:14" x14ac:dyDescent="0.4">
      <c r="A28" t="s">
        <v>38</v>
      </c>
      <c r="J28">
        <v>4</v>
      </c>
      <c r="L28">
        <f t="shared" si="0"/>
        <v>0</v>
      </c>
      <c r="M28">
        <v>0.9</v>
      </c>
      <c r="N28">
        <f t="shared" si="1"/>
        <v>0</v>
      </c>
    </row>
    <row r="29" spans="1:14" x14ac:dyDescent="0.4">
      <c r="A29" t="s">
        <v>24</v>
      </c>
      <c r="B29">
        <v>0.20723611615000001</v>
      </c>
      <c r="C29" t="s">
        <v>39</v>
      </c>
      <c r="D29">
        <v>128</v>
      </c>
      <c r="E29">
        <v>256</v>
      </c>
      <c r="F29">
        <v>22</v>
      </c>
      <c r="G29">
        <v>3</v>
      </c>
      <c r="H29">
        <v>2</v>
      </c>
      <c r="I29">
        <v>1</v>
      </c>
      <c r="J29">
        <v>4</v>
      </c>
      <c r="L29">
        <f t="shared" si="0"/>
        <v>142737408</v>
      </c>
      <c r="M29">
        <v>0.9</v>
      </c>
      <c r="N29">
        <f t="shared" si="1"/>
        <v>106489245.82765658</v>
      </c>
    </row>
    <row r="30" spans="1:14" x14ac:dyDescent="0.4">
      <c r="A30" t="s">
        <v>13</v>
      </c>
      <c r="B30">
        <v>8.7950469540000006E-2</v>
      </c>
      <c r="C30" t="s">
        <v>40</v>
      </c>
      <c r="D30">
        <v>256</v>
      </c>
      <c r="E30">
        <v>512</v>
      </c>
      <c r="F30">
        <v>22</v>
      </c>
      <c r="G30">
        <v>1</v>
      </c>
      <c r="H30">
        <v>1</v>
      </c>
      <c r="I30">
        <v>0</v>
      </c>
      <c r="J30">
        <v>4</v>
      </c>
      <c r="L30">
        <f t="shared" si="0"/>
        <v>63438848</v>
      </c>
      <c r="M30">
        <v>0.9</v>
      </c>
      <c r="N30">
        <f t="shared" si="1"/>
        <v>20086115.287236083</v>
      </c>
    </row>
    <row r="31" spans="1:14" x14ac:dyDescent="0.4">
      <c r="A31" t="s">
        <v>15</v>
      </c>
      <c r="B31">
        <v>9.4838433574999895E-2</v>
      </c>
      <c r="C31" t="s">
        <v>41</v>
      </c>
      <c r="D31">
        <v>1</v>
      </c>
      <c r="E31">
        <v>512</v>
      </c>
      <c r="F31">
        <v>22</v>
      </c>
      <c r="G31">
        <v>3</v>
      </c>
      <c r="H31">
        <v>1</v>
      </c>
      <c r="I31">
        <v>3</v>
      </c>
      <c r="J31">
        <v>4</v>
      </c>
      <c r="L31">
        <f t="shared" si="0"/>
        <v>2230272</v>
      </c>
      <c r="M31">
        <v>0.9</v>
      </c>
      <c r="N31">
        <f t="shared" si="1"/>
        <v>761455.81053425581</v>
      </c>
    </row>
    <row r="32" spans="1:14" x14ac:dyDescent="0.4">
      <c r="A32" t="s">
        <v>17</v>
      </c>
      <c r="B32">
        <v>8.2408114089999901E-2</v>
      </c>
      <c r="C32" t="s">
        <v>42</v>
      </c>
      <c r="D32">
        <v>512</v>
      </c>
      <c r="E32">
        <v>256</v>
      </c>
      <c r="F32">
        <v>22</v>
      </c>
      <c r="G32">
        <v>1</v>
      </c>
      <c r="H32">
        <v>1</v>
      </c>
      <c r="I32">
        <v>0</v>
      </c>
      <c r="J32">
        <v>4</v>
      </c>
      <c r="L32">
        <f t="shared" si="0"/>
        <v>63438848</v>
      </c>
      <c r="M32">
        <v>0.9</v>
      </c>
      <c r="N32">
        <f t="shared" si="1"/>
        <v>18820352.965399783</v>
      </c>
    </row>
    <row r="33" spans="1:14" x14ac:dyDescent="0.4">
      <c r="A33" t="s">
        <v>43</v>
      </c>
      <c r="B33">
        <v>8.7623664214999994E-2</v>
      </c>
      <c r="C33" t="s">
        <v>44</v>
      </c>
      <c r="J33">
        <v>4</v>
      </c>
      <c r="L33">
        <f t="shared" si="0"/>
        <v>0</v>
      </c>
      <c r="M33">
        <v>0.9</v>
      </c>
      <c r="N33">
        <f t="shared" si="1"/>
        <v>0</v>
      </c>
    </row>
    <row r="34" spans="1:14" x14ac:dyDescent="0.4">
      <c r="A34" t="s">
        <v>45</v>
      </c>
      <c r="B34">
        <v>9.9874540294999994E-2</v>
      </c>
      <c r="C34" t="s">
        <v>46</v>
      </c>
      <c r="D34">
        <v>256</v>
      </c>
      <c r="E34">
        <v>256</v>
      </c>
      <c r="F34">
        <v>22</v>
      </c>
      <c r="G34">
        <v>1</v>
      </c>
      <c r="H34">
        <v>1</v>
      </c>
      <c r="I34">
        <v>0</v>
      </c>
      <c r="J34">
        <v>4</v>
      </c>
      <c r="L34">
        <f t="shared" si="0"/>
        <v>31719424</v>
      </c>
      <c r="M34">
        <v>0.9</v>
      </c>
      <c r="N34">
        <f>L34*J34*B33*M34</f>
        <v>10005739.767609162</v>
      </c>
    </row>
    <row r="35" spans="1:14" x14ac:dyDescent="0.4">
      <c r="A35" t="s">
        <v>47</v>
      </c>
      <c r="B35">
        <v>9.4051987884999994E-2</v>
      </c>
      <c r="C35" t="s">
        <v>46</v>
      </c>
      <c r="D35">
        <v>256</v>
      </c>
      <c r="E35">
        <v>256</v>
      </c>
      <c r="F35">
        <v>22</v>
      </c>
      <c r="G35">
        <v>1</v>
      </c>
      <c r="J35">
        <v>4</v>
      </c>
      <c r="L35">
        <f t="shared" si="0"/>
        <v>31719424</v>
      </c>
      <c r="M35">
        <v>0.9</v>
      </c>
      <c r="N35">
        <f>L35*J35*B33*M35</f>
        <v>10005739.767609162</v>
      </c>
    </row>
    <row r="36" spans="1:14" x14ac:dyDescent="0.4">
      <c r="A36" t="s">
        <v>48</v>
      </c>
      <c r="B36">
        <v>9.5323047575E-2</v>
      </c>
      <c r="C36" t="s">
        <v>49</v>
      </c>
      <c r="D36">
        <v>256</v>
      </c>
      <c r="E36">
        <v>1024</v>
      </c>
      <c r="F36">
        <v>22</v>
      </c>
      <c r="G36">
        <v>1</v>
      </c>
      <c r="H36">
        <v>1</v>
      </c>
      <c r="I36">
        <v>0</v>
      </c>
      <c r="J36">
        <v>4</v>
      </c>
      <c r="L36">
        <f t="shared" si="0"/>
        <v>126877696</v>
      </c>
      <c r="M36">
        <v>0.9</v>
      </c>
      <c r="N36">
        <f>L36*J36*B33*M36</f>
        <v>40022959.070436649</v>
      </c>
    </row>
    <row r="37" spans="1:14" x14ac:dyDescent="0.4">
      <c r="A37" t="s">
        <v>50</v>
      </c>
      <c r="B37">
        <f>B34*B35+B36</f>
        <v>0.10471644662884529</v>
      </c>
      <c r="C37" t="s">
        <v>51</v>
      </c>
      <c r="D37">
        <v>507510784</v>
      </c>
      <c r="E37">
        <v>1</v>
      </c>
      <c r="F37">
        <v>1</v>
      </c>
      <c r="G37">
        <v>1</v>
      </c>
      <c r="H37">
        <v>1</v>
      </c>
      <c r="I37">
        <v>1</v>
      </c>
      <c r="J37">
        <v>4</v>
      </c>
      <c r="L37">
        <f t="shared" si="0"/>
        <v>507510784</v>
      </c>
      <c r="M37">
        <v>0.9</v>
      </c>
      <c r="N37">
        <f t="shared" si="1"/>
        <v>191321013.33467796</v>
      </c>
    </row>
    <row r="38" spans="1:14" x14ac:dyDescent="0.4">
      <c r="A38" t="s">
        <v>52</v>
      </c>
      <c r="B38">
        <v>0.78869927620000002</v>
      </c>
      <c r="C38" t="s">
        <v>53</v>
      </c>
      <c r="D38">
        <v>1024</v>
      </c>
      <c r="E38">
        <v>256</v>
      </c>
      <c r="F38">
        <v>22</v>
      </c>
      <c r="G38">
        <v>1</v>
      </c>
      <c r="H38">
        <v>1</v>
      </c>
      <c r="I38">
        <v>0</v>
      </c>
      <c r="J38">
        <v>4</v>
      </c>
      <c r="L38">
        <f t="shared" si="0"/>
        <v>126877696</v>
      </c>
      <c r="M38">
        <v>0.9</v>
      </c>
      <c r="N38">
        <f t="shared" si="1"/>
        <v>360246049.20404512</v>
      </c>
    </row>
    <row r="39" spans="1:14" x14ac:dyDescent="0.4">
      <c r="A39" t="s">
        <v>54</v>
      </c>
      <c r="B39">
        <v>8.6941220794999996E-2</v>
      </c>
      <c r="C39" t="s">
        <v>55</v>
      </c>
      <c r="D39">
        <v>256</v>
      </c>
      <c r="E39">
        <v>1024</v>
      </c>
      <c r="F39">
        <v>1</v>
      </c>
      <c r="G39">
        <v>1</v>
      </c>
      <c r="J39">
        <v>4</v>
      </c>
      <c r="L39">
        <f t="shared" si="0"/>
        <v>262144</v>
      </c>
      <c r="M39">
        <v>0.9</v>
      </c>
      <c r="N39">
        <f t="shared" si="1"/>
        <v>82048.029782704121</v>
      </c>
    </row>
    <row r="40" spans="1:14" x14ac:dyDescent="0.4">
      <c r="A40" t="s">
        <v>56</v>
      </c>
      <c r="B40">
        <v>9.6826366309999898E-2</v>
      </c>
      <c r="C40" t="s">
        <v>55</v>
      </c>
      <c r="D40">
        <v>256</v>
      </c>
      <c r="E40">
        <v>1024</v>
      </c>
      <c r="F40">
        <v>1</v>
      </c>
      <c r="G40">
        <v>1</v>
      </c>
      <c r="J40">
        <v>4</v>
      </c>
      <c r="L40">
        <f t="shared" si="0"/>
        <v>262144</v>
      </c>
      <c r="M40">
        <v>0.9</v>
      </c>
      <c r="N40">
        <f t="shared" si="1"/>
        <v>91376.823491887015</v>
      </c>
    </row>
    <row r="41" spans="1:14" x14ac:dyDescent="0.4">
      <c r="A41" t="s">
        <v>13</v>
      </c>
      <c r="B41">
        <v>8.6577854794999895E-2</v>
      </c>
      <c r="C41" t="s">
        <v>40</v>
      </c>
      <c r="D41">
        <v>256</v>
      </c>
      <c r="E41">
        <v>512</v>
      </c>
      <c r="F41">
        <v>22</v>
      </c>
      <c r="G41">
        <v>1</v>
      </c>
      <c r="H41">
        <v>1</v>
      </c>
      <c r="I41">
        <v>0</v>
      </c>
      <c r="J41">
        <v>4</v>
      </c>
      <c r="L41">
        <f t="shared" si="0"/>
        <v>63438848</v>
      </c>
      <c r="M41">
        <v>0.9</v>
      </c>
      <c r="N41">
        <f t="shared" si="1"/>
        <v>19772637.73382185</v>
      </c>
    </row>
    <row r="42" spans="1:14" x14ac:dyDescent="0.4">
      <c r="A42" t="s">
        <v>15</v>
      </c>
      <c r="B42">
        <v>9.3711119369999998E-2</v>
      </c>
      <c r="C42" t="s">
        <v>41</v>
      </c>
      <c r="D42">
        <v>1</v>
      </c>
      <c r="E42">
        <v>512</v>
      </c>
      <c r="F42">
        <v>22</v>
      </c>
      <c r="G42">
        <v>3</v>
      </c>
      <c r="H42">
        <v>1</v>
      </c>
      <c r="I42">
        <v>3</v>
      </c>
      <c r="J42">
        <v>4</v>
      </c>
      <c r="L42">
        <f t="shared" si="0"/>
        <v>2230272</v>
      </c>
      <c r="M42">
        <v>0.9</v>
      </c>
      <c r="N42">
        <f t="shared" si="1"/>
        <v>752404.62823044707</v>
      </c>
    </row>
    <row r="43" spans="1:14" x14ac:dyDescent="0.4">
      <c r="A43" t="s">
        <v>17</v>
      </c>
      <c r="B43">
        <v>8.39666745799999E-2</v>
      </c>
      <c r="C43" t="s">
        <v>42</v>
      </c>
      <c r="D43">
        <v>512</v>
      </c>
      <c r="E43">
        <v>256</v>
      </c>
      <c r="F43">
        <v>22</v>
      </c>
      <c r="G43">
        <v>1</v>
      </c>
      <c r="H43">
        <v>1</v>
      </c>
      <c r="I43">
        <v>0</v>
      </c>
      <c r="J43">
        <v>4</v>
      </c>
      <c r="L43">
        <f t="shared" si="0"/>
        <v>63438848</v>
      </c>
      <c r="M43">
        <v>0.9</v>
      </c>
      <c r="N43">
        <f t="shared" si="1"/>
        <v>19176296.780685879</v>
      </c>
    </row>
    <row r="44" spans="1:14" x14ac:dyDescent="0.4">
      <c r="A44" t="s">
        <v>43</v>
      </c>
      <c r="B44">
        <v>8.6497671789999994E-2</v>
      </c>
      <c r="J44">
        <v>4</v>
      </c>
      <c r="L44">
        <f t="shared" si="0"/>
        <v>0</v>
      </c>
      <c r="M44">
        <v>0.9</v>
      </c>
      <c r="N44">
        <f t="shared" si="1"/>
        <v>0</v>
      </c>
    </row>
    <row r="45" spans="1:14" x14ac:dyDescent="0.4">
      <c r="A45" t="s">
        <v>45</v>
      </c>
      <c r="B45">
        <v>9.8766443964999895E-2</v>
      </c>
      <c r="C45" t="s">
        <v>46</v>
      </c>
      <c r="D45">
        <v>256</v>
      </c>
      <c r="E45">
        <v>256</v>
      </c>
      <c r="F45">
        <v>22</v>
      </c>
      <c r="G45">
        <v>1</v>
      </c>
      <c r="H45">
        <v>1</v>
      </c>
      <c r="I45">
        <v>0</v>
      </c>
      <c r="J45">
        <v>4</v>
      </c>
      <c r="L45">
        <f t="shared" si="0"/>
        <v>31719424</v>
      </c>
      <c r="M45">
        <v>0.9</v>
      </c>
      <c r="N45">
        <f>L45*J45*B44*M45</f>
        <v>9877162.7754714563</v>
      </c>
    </row>
    <row r="46" spans="1:14" x14ac:dyDescent="0.4">
      <c r="A46" t="s">
        <v>47</v>
      </c>
      <c r="B46">
        <v>9.6371686870000001E-2</v>
      </c>
      <c r="C46" t="s">
        <v>46</v>
      </c>
      <c r="D46">
        <v>256</v>
      </c>
      <c r="E46">
        <v>256</v>
      </c>
      <c r="F46">
        <v>22</v>
      </c>
      <c r="G46">
        <v>1</v>
      </c>
      <c r="H46">
        <v>1</v>
      </c>
      <c r="I46">
        <v>0</v>
      </c>
      <c r="J46">
        <v>4</v>
      </c>
      <c r="L46">
        <f t="shared" si="0"/>
        <v>31719424</v>
      </c>
      <c r="M46">
        <v>0.9</v>
      </c>
      <c r="N46">
        <f>L46*J46*B44*M46</f>
        <v>9877162.7754714563</v>
      </c>
    </row>
    <row r="47" spans="1:14" x14ac:dyDescent="0.4">
      <c r="A47" t="s">
        <v>48</v>
      </c>
      <c r="B47">
        <v>9.5506823975000002E-2</v>
      </c>
      <c r="C47" t="s">
        <v>49</v>
      </c>
      <c r="D47">
        <v>256</v>
      </c>
      <c r="E47">
        <v>1024</v>
      </c>
      <c r="F47">
        <v>22</v>
      </c>
      <c r="G47">
        <v>1</v>
      </c>
      <c r="H47">
        <v>1</v>
      </c>
      <c r="I47">
        <v>0</v>
      </c>
      <c r="J47">
        <v>4</v>
      </c>
      <c r="L47">
        <f t="shared" si="0"/>
        <v>126877696</v>
      </c>
      <c r="M47">
        <v>0.9</v>
      </c>
      <c r="N47">
        <f>L47*J47*B44*M47</f>
        <v>39508651.101885825</v>
      </c>
    </row>
    <row r="48" spans="1:14" ht="55.5" x14ac:dyDescent="0.4">
      <c r="A48" t="s">
        <v>50</v>
      </c>
      <c r="B48">
        <f>B45*B46+B47</f>
        <v>0.10502511278605837</v>
      </c>
      <c r="C48" s="1" t="s">
        <v>57</v>
      </c>
      <c r="D48">
        <v>507510784</v>
      </c>
      <c r="E48">
        <v>1</v>
      </c>
      <c r="F48">
        <v>1</v>
      </c>
      <c r="G48">
        <v>1</v>
      </c>
      <c r="H48">
        <v>1</v>
      </c>
      <c r="I48">
        <v>1</v>
      </c>
      <c r="J48">
        <v>4</v>
      </c>
      <c r="L48">
        <f t="shared" si="0"/>
        <v>507510784</v>
      </c>
      <c r="M48">
        <v>0.9</v>
      </c>
      <c r="N48">
        <f t="shared" si="1"/>
        <v>191884958.38706729</v>
      </c>
    </row>
    <row r="49" spans="1:14" x14ac:dyDescent="0.4">
      <c r="J49">
        <v>4</v>
      </c>
      <c r="L49">
        <f t="shared" si="0"/>
        <v>0</v>
      </c>
      <c r="N49">
        <f t="shared" si="1"/>
        <v>0</v>
      </c>
    </row>
    <row r="50" spans="1:14" x14ac:dyDescent="0.4">
      <c r="J50">
        <v>4</v>
      </c>
      <c r="L50">
        <f t="shared" si="0"/>
        <v>0</v>
      </c>
      <c r="N50">
        <f t="shared" si="1"/>
        <v>0</v>
      </c>
    </row>
    <row r="51" spans="1:14" x14ac:dyDescent="0.4">
      <c r="J51">
        <v>4</v>
      </c>
      <c r="L51">
        <f t="shared" si="0"/>
        <v>0</v>
      </c>
      <c r="N51">
        <f t="shared" si="1"/>
        <v>0</v>
      </c>
    </row>
    <row r="52" spans="1:14" x14ac:dyDescent="0.4">
      <c r="A52" t="s">
        <v>52</v>
      </c>
      <c r="B52">
        <v>0.81072810514999905</v>
      </c>
      <c r="C52" t="s">
        <v>53</v>
      </c>
      <c r="D52">
        <v>1024</v>
      </c>
      <c r="E52">
        <v>256</v>
      </c>
      <c r="F52">
        <v>22</v>
      </c>
      <c r="G52">
        <v>1</v>
      </c>
      <c r="H52">
        <v>1</v>
      </c>
      <c r="I52">
        <v>0</v>
      </c>
      <c r="J52">
        <v>4</v>
      </c>
      <c r="L52">
        <f t="shared" si="0"/>
        <v>126877696</v>
      </c>
      <c r="M52">
        <v>0.9</v>
      </c>
      <c r="N52">
        <f t="shared" si="1"/>
        <v>370307930.6299594</v>
      </c>
    </row>
    <row r="53" spans="1:14" x14ac:dyDescent="0.4">
      <c r="A53" t="s">
        <v>54</v>
      </c>
      <c r="B53">
        <v>8.6542787109999894E-2</v>
      </c>
      <c r="C53" t="s">
        <v>55</v>
      </c>
      <c r="D53">
        <v>256</v>
      </c>
      <c r="E53">
        <v>1024</v>
      </c>
      <c r="F53">
        <v>1</v>
      </c>
      <c r="G53">
        <v>1</v>
      </c>
      <c r="J53">
        <v>4</v>
      </c>
      <c r="L53">
        <f t="shared" si="0"/>
        <v>262144</v>
      </c>
      <c r="M53">
        <v>0.9</v>
      </c>
      <c r="N53">
        <f t="shared" si="1"/>
        <v>81672.020582989731</v>
      </c>
    </row>
    <row r="54" spans="1:14" x14ac:dyDescent="0.4">
      <c r="A54" t="s">
        <v>56</v>
      </c>
      <c r="B54">
        <v>9.5760843524999903E-2</v>
      </c>
      <c r="C54" t="s">
        <v>55</v>
      </c>
      <c r="D54">
        <v>256</v>
      </c>
      <c r="E54">
        <v>1024</v>
      </c>
      <c r="F54">
        <v>1</v>
      </c>
      <c r="G54">
        <v>1</v>
      </c>
      <c r="J54">
        <v>4</v>
      </c>
      <c r="L54">
        <f t="shared" si="0"/>
        <v>262144</v>
      </c>
      <c r="M54">
        <v>0.9</v>
      </c>
      <c r="N54">
        <f t="shared" si="1"/>
        <v>90371.270034063273</v>
      </c>
    </row>
    <row r="55" spans="1:14" x14ac:dyDescent="0.4">
      <c r="A55" t="s">
        <v>13</v>
      </c>
      <c r="B55">
        <v>8.6309531874999901E-2</v>
      </c>
      <c r="C55" t="s">
        <v>40</v>
      </c>
      <c r="D55">
        <v>256</v>
      </c>
      <c r="E55">
        <v>512</v>
      </c>
      <c r="F55">
        <v>22</v>
      </c>
      <c r="G55">
        <v>1</v>
      </c>
      <c r="H55">
        <v>1</v>
      </c>
      <c r="I55">
        <v>0</v>
      </c>
      <c r="J55">
        <v>4</v>
      </c>
      <c r="L55">
        <f t="shared" si="0"/>
        <v>63438848</v>
      </c>
      <c r="M55">
        <v>0.9</v>
      </c>
      <c r="N55">
        <f t="shared" si="1"/>
        <v>19711358.184849385</v>
      </c>
    </row>
    <row r="56" spans="1:14" x14ac:dyDescent="0.4">
      <c r="A56" t="s">
        <v>15</v>
      </c>
      <c r="B56">
        <v>9.322625273E-2</v>
      </c>
      <c r="C56" t="s">
        <v>41</v>
      </c>
      <c r="D56">
        <v>1</v>
      </c>
      <c r="E56">
        <v>512</v>
      </c>
      <c r="F56">
        <v>22</v>
      </c>
      <c r="G56">
        <v>3</v>
      </c>
      <c r="H56">
        <v>1</v>
      </c>
      <c r="I56">
        <v>3</v>
      </c>
      <c r="J56">
        <v>4</v>
      </c>
      <c r="L56">
        <f t="shared" si="0"/>
        <v>2230272</v>
      </c>
      <c r="M56">
        <v>0.9</v>
      </c>
      <c r="N56">
        <f t="shared" si="1"/>
        <v>748511.64406311326</v>
      </c>
    </row>
    <row r="57" spans="1:14" x14ac:dyDescent="0.4">
      <c r="A57" t="s">
        <v>17</v>
      </c>
      <c r="B57">
        <v>8.2398302884999997E-2</v>
      </c>
      <c r="C57" t="s">
        <v>42</v>
      </c>
      <c r="D57">
        <v>512</v>
      </c>
      <c r="E57">
        <v>256</v>
      </c>
      <c r="F57">
        <v>22</v>
      </c>
      <c r="G57">
        <v>1</v>
      </c>
      <c r="H57">
        <v>1</v>
      </c>
      <c r="I57">
        <v>0</v>
      </c>
      <c r="J57">
        <v>4</v>
      </c>
      <c r="L57">
        <f t="shared" si="0"/>
        <v>63438848</v>
      </c>
      <c r="M57">
        <v>0.9</v>
      </c>
      <c r="N57">
        <f t="shared" si="1"/>
        <v>18818112.283846118</v>
      </c>
    </row>
    <row r="58" spans="1:14" x14ac:dyDescent="0.4">
      <c r="A58" t="s">
        <v>43</v>
      </c>
      <c r="B58">
        <v>8.6561783809999904E-2</v>
      </c>
      <c r="J58">
        <v>4</v>
      </c>
      <c r="L58">
        <f t="shared" si="0"/>
        <v>0</v>
      </c>
      <c r="M58">
        <v>0.9</v>
      </c>
      <c r="N58">
        <f t="shared" si="1"/>
        <v>0</v>
      </c>
    </row>
    <row r="59" spans="1:14" x14ac:dyDescent="0.4">
      <c r="A59" t="s">
        <v>45</v>
      </c>
      <c r="B59">
        <v>9.8317881084999906E-2</v>
      </c>
      <c r="C59" t="s">
        <v>46</v>
      </c>
      <c r="D59">
        <v>256</v>
      </c>
      <c r="E59">
        <v>256</v>
      </c>
      <c r="F59">
        <v>22</v>
      </c>
      <c r="G59">
        <v>1</v>
      </c>
      <c r="H59">
        <v>1</v>
      </c>
      <c r="I59">
        <v>0</v>
      </c>
      <c r="J59">
        <v>4</v>
      </c>
      <c r="L59">
        <f t="shared" si="0"/>
        <v>31719424</v>
      </c>
      <c r="M59">
        <v>0.9</v>
      </c>
      <c r="N59">
        <f>L59*J59*B58*M59</f>
        <v>9884483.7223166004</v>
      </c>
    </row>
    <row r="60" spans="1:14" x14ac:dyDescent="0.4">
      <c r="A60" t="s">
        <v>47</v>
      </c>
      <c r="B60">
        <v>9.44000602049999E-2</v>
      </c>
      <c r="C60" t="s">
        <v>46</v>
      </c>
      <c r="D60">
        <v>256</v>
      </c>
      <c r="E60">
        <v>256</v>
      </c>
      <c r="F60">
        <v>22</v>
      </c>
      <c r="G60">
        <v>1</v>
      </c>
      <c r="H60">
        <v>1</v>
      </c>
      <c r="I60">
        <v>0</v>
      </c>
      <c r="J60">
        <v>4</v>
      </c>
      <c r="L60">
        <f t="shared" si="0"/>
        <v>31719424</v>
      </c>
      <c r="M60">
        <v>0.9</v>
      </c>
      <c r="N60">
        <f>L60*J60*B58*M60</f>
        <v>9884483.7223166004</v>
      </c>
    </row>
    <row r="61" spans="1:14" x14ac:dyDescent="0.4">
      <c r="A61" t="s">
        <v>48</v>
      </c>
      <c r="B61">
        <v>9.3402470535000004E-2</v>
      </c>
      <c r="C61" t="s">
        <v>49</v>
      </c>
      <c r="D61">
        <v>256</v>
      </c>
      <c r="E61">
        <v>1024</v>
      </c>
      <c r="F61">
        <v>22</v>
      </c>
      <c r="G61">
        <v>1</v>
      </c>
      <c r="H61">
        <v>1</v>
      </c>
      <c r="I61">
        <v>0</v>
      </c>
      <c r="J61">
        <v>4</v>
      </c>
      <c r="L61">
        <f t="shared" si="0"/>
        <v>126877696</v>
      </c>
      <c r="M61">
        <v>0.9</v>
      </c>
      <c r="N61">
        <f>L61*J61*B58*M61</f>
        <v>39537934.889266402</v>
      </c>
    </row>
    <row r="62" spans="1:14" x14ac:dyDescent="0.4">
      <c r="A62" t="s">
        <v>50</v>
      </c>
      <c r="B62">
        <f>B59*B60+B61</f>
        <v>0.10268368442865201</v>
      </c>
      <c r="C62" t="s">
        <v>51</v>
      </c>
      <c r="D62">
        <v>507510784</v>
      </c>
      <c r="E62">
        <v>1</v>
      </c>
      <c r="F62">
        <v>1</v>
      </c>
      <c r="G62">
        <v>1</v>
      </c>
      <c r="H62">
        <v>1</v>
      </c>
      <c r="I62">
        <v>1</v>
      </c>
      <c r="J62">
        <v>4</v>
      </c>
      <c r="L62">
        <f t="shared" si="0"/>
        <v>507510784</v>
      </c>
      <c r="M62">
        <v>0.9</v>
      </c>
      <c r="N62">
        <f t="shared" si="1"/>
        <v>187607077.87821761</v>
      </c>
    </row>
    <row r="63" spans="1:14" x14ac:dyDescent="0.4">
      <c r="A63" t="s">
        <v>52</v>
      </c>
      <c r="B63">
        <v>0.80970596134999895</v>
      </c>
      <c r="C63" t="s">
        <v>53</v>
      </c>
      <c r="D63">
        <v>1024</v>
      </c>
      <c r="E63">
        <v>256</v>
      </c>
      <c r="F63">
        <v>22</v>
      </c>
      <c r="G63">
        <v>1</v>
      </c>
      <c r="H63">
        <v>1</v>
      </c>
      <c r="I63">
        <v>0</v>
      </c>
      <c r="J63">
        <v>4</v>
      </c>
      <c r="L63">
        <f t="shared" si="0"/>
        <v>126877696</v>
      </c>
      <c r="M63">
        <v>0.9</v>
      </c>
      <c r="N63">
        <f t="shared" si="1"/>
        <v>369841056.52879053</v>
      </c>
    </row>
    <row r="64" spans="1:14" x14ac:dyDescent="0.4">
      <c r="A64" t="s">
        <v>54</v>
      </c>
      <c r="B64">
        <v>8.6804309969999993E-2</v>
      </c>
      <c r="C64" t="s">
        <v>55</v>
      </c>
      <c r="D64">
        <v>256</v>
      </c>
      <c r="E64">
        <v>1024</v>
      </c>
      <c r="F64">
        <v>1</v>
      </c>
      <c r="G64">
        <v>1</v>
      </c>
      <c r="J64">
        <v>4</v>
      </c>
      <c r="L64">
        <f t="shared" ref="L64:L120" si="2">D64*E64*F64*F64*G64*G64</f>
        <v>262144</v>
      </c>
      <c r="M64">
        <v>0.9</v>
      </c>
      <c r="N64">
        <f t="shared" ref="N64:N120" si="3">L64*J64*B64*M64</f>
        <v>81918.824517992442</v>
      </c>
    </row>
    <row r="65" spans="1:14" x14ac:dyDescent="0.4">
      <c r="A65" t="s">
        <v>56</v>
      </c>
      <c r="B65">
        <v>9.3633018854999903E-2</v>
      </c>
      <c r="C65" t="s">
        <v>55</v>
      </c>
      <c r="D65">
        <v>256</v>
      </c>
      <c r="E65">
        <v>1024</v>
      </c>
      <c r="F65">
        <v>1</v>
      </c>
      <c r="G65">
        <v>1</v>
      </c>
      <c r="J65">
        <v>4</v>
      </c>
      <c r="L65">
        <f t="shared" si="2"/>
        <v>262144</v>
      </c>
      <c r="M65">
        <v>0.9</v>
      </c>
      <c r="N65">
        <f t="shared" si="3"/>
        <v>88363.202741010347</v>
      </c>
    </row>
    <row r="66" spans="1:14" x14ac:dyDescent="0.4">
      <c r="A66" t="s">
        <v>13</v>
      </c>
      <c r="B66">
        <v>8.6671374804999896E-2</v>
      </c>
      <c r="C66" t="s">
        <v>46</v>
      </c>
      <c r="D66">
        <v>256</v>
      </c>
      <c r="E66">
        <v>512</v>
      </c>
      <c r="F66">
        <v>22</v>
      </c>
      <c r="G66">
        <v>1</v>
      </c>
      <c r="H66">
        <v>1</v>
      </c>
      <c r="I66">
        <v>0</v>
      </c>
      <c r="J66">
        <v>4</v>
      </c>
      <c r="L66">
        <f t="shared" si="2"/>
        <v>63438848</v>
      </c>
      <c r="M66">
        <v>0.9</v>
      </c>
      <c r="N66">
        <f t="shared" si="3"/>
        <v>19793995.819939505</v>
      </c>
    </row>
    <row r="67" spans="1:14" x14ac:dyDescent="0.4">
      <c r="A67" t="s">
        <v>15</v>
      </c>
      <c r="B67">
        <v>9.2898937885000005E-2</v>
      </c>
      <c r="C67" t="s">
        <v>46</v>
      </c>
      <c r="D67">
        <v>1</v>
      </c>
      <c r="E67">
        <v>512</v>
      </c>
      <c r="F67">
        <v>22</v>
      </c>
      <c r="G67">
        <v>3</v>
      </c>
      <c r="H67">
        <v>1</v>
      </c>
      <c r="I67">
        <v>3</v>
      </c>
      <c r="J67">
        <v>4</v>
      </c>
      <c r="L67">
        <f t="shared" si="2"/>
        <v>2230272</v>
      </c>
      <c r="M67">
        <v>0.9</v>
      </c>
      <c r="N67">
        <f t="shared" si="3"/>
        <v>745883.63998075703</v>
      </c>
    </row>
    <row r="68" spans="1:14" x14ac:dyDescent="0.4">
      <c r="A68" t="s">
        <v>17</v>
      </c>
      <c r="B68">
        <v>8.2111625089999904E-2</v>
      </c>
      <c r="C68" t="s">
        <v>49</v>
      </c>
      <c r="D68">
        <v>512</v>
      </c>
      <c r="E68">
        <v>256</v>
      </c>
      <c r="F68">
        <v>22</v>
      </c>
      <c r="G68">
        <v>1</v>
      </c>
      <c r="H68">
        <v>1</v>
      </c>
      <c r="I68">
        <v>0</v>
      </c>
      <c r="J68">
        <v>4</v>
      </c>
      <c r="L68">
        <f t="shared" si="2"/>
        <v>63438848</v>
      </c>
      <c r="M68">
        <v>0.9</v>
      </c>
      <c r="N68">
        <f t="shared" si="3"/>
        <v>18752640.851222966</v>
      </c>
    </row>
    <row r="69" spans="1:14" x14ac:dyDescent="0.4">
      <c r="A69" t="s">
        <v>43</v>
      </c>
      <c r="B69">
        <v>8.7153410954999996E-2</v>
      </c>
      <c r="J69">
        <v>4</v>
      </c>
      <c r="L69">
        <f t="shared" si="2"/>
        <v>0</v>
      </c>
      <c r="M69">
        <v>0.9</v>
      </c>
      <c r="N69">
        <f t="shared" si="3"/>
        <v>0</v>
      </c>
    </row>
    <row r="70" spans="1:14" x14ac:dyDescent="0.4">
      <c r="A70" t="s">
        <v>45</v>
      </c>
      <c r="B70">
        <v>9.8678240974999998E-2</v>
      </c>
      <c r="C70" t="s">
        <v>46</v>
      </c>
      <c r="D70">
        <v>256</v>
      </c>
      <c r="E70">
        <v>256</v>
      </c>
      <c r="F70">
        <v>22</v>
      </c>
      <c r="G70">
        <v>1</v>
      </c>
      <c r="H70">
        <v>1</v>
      </c>
      <c r="I70">
        <v>0</v>
      </c>
      <c r="J70">
        <v>4</v>
      </c>
      <c r="L70">
        <f t="shared" si="2"/>
        <v>31719424</v>
      </c>
      <c r="M70">
        <v>0.9</v>
      </c>
      <c r="N70">
        <f>L70*J70*B69*M70</f>
        <v>9952041.5824604034</v>
      </c>
    </row>
    <row r="71" spans="1:14" x14ac:dyDescent="0.4">
      <c r="A71" t="s">
        <v>47</v>
      </c>
      <c r="B71">
        <v>9.4861576124999902E-2</v>
      </c>
      <c r="C71" t="s">
        <v>46</v>
      </c>
      <c r="D71">
        <v>256</v>
      </c>
      <c r="E71">
        <v>256</v>
      </c>
      <c r="F71">
        <v>22</v>
      </c>
      <c r="G71">
        <v>1</v>
      </c>
      <c r="H71">
        <v>1</v>
      </c>
      <c r="I71">
        <v>0</v>
      </c>
      <c r="J71">
        <v>4</v>
      </c>
      <c r="L71">
        <f t="shared" si="2"/>
        <v>31719424</v>
      </c>
      <c r="M71">
        <v>0.9</v>
      </c>
      <c r="N71">
        <f>L71*J71*B69*M71</f>
        <v>9952041.5824604034</v>
      </c>
    </row>
    <row r="72" spans="1:14" x14ac:dyDescent="0.4">
      <c r="A72" t="s">
        <v>48</v>
      </c>
      <c r="B72">
        <v>9.277456479E-2</v>
      </c>
      <c r="C72" t="s">
        <v>49</v>
      </c>
      <c r="D72">
        <v>256</v>
      </c>
      <c r="E72">
        <v>1024</v>
      </c>
      <c r="F72">
        <v>22</v>
      </c>
      <c r="G72">
        <v>1</v>
      </c>
      <c r="H72">
        <v>1</v>
      </c>
      <c r="I72">
        <v>0</v>
      </c>
      <c r="J72">
        <v>4</v>
      </c>
      <c r="L72">
        <f t="shared" si="2"/>
        <v>126877696</v>
      </c>
      <c r="M72">
        <v>0.9</v>
      </c>
      <c r="N72">
        <f>L72*J72*B69*M72</f>
        <v>39808166.329841614</v>
      </c>
    </row>
    <row r="73" spans="1:14" x14ac:dyDescent="0.4">
      <c r="A73" t="s">
        <v>50</v>
      </c>
      <c r="B73">
        <f>B70*B71+B72</f>
        <v>0.10213533825813105</v>
      </c>
      <c r="C73" t="s">
        <v>51</v>
      </c>
      <c r="D73">
        <v>507510784</v>
      </c>
      <c r="E73">
        <v>1</v>
      </c>
      <c r="F73">
        <v>1</v>
      </c>
      <c r="G73">
        <v>1</v>
      </c>
      <c r="H73">
        <v>1</v>
      </c>
      <c r="I73">
        <v>1</v>
      </c>
      <c r="J73">
        <v>4</v>
      </c>
      <c r="L73">
        <f t="shared" si="2"/>
        <v>507510784</v>
      </c>
      <c r="M73">
        <v>0.9</v>
      </c>
      <c r="N73">
        <f t="shared" si="3"/>
        <v>186605228.13656142</v>
      </c>
    </row>
    <row r="74" spans="1:14" x14ac:dyDescent="0.4">
      <c r="A74" t="s">
        <v>52</v>
      </c>
      <c r="B74">
        <v>0.84501204819999898</v>
      </c>
      <c r="C74" t="s">
        <v>53</v>
      </c>
      <c r="D74">
        <v>1024</v>
      </c>
      <c r="E74">
        <v>256</v>
      </c>
      <c r="F74">
        <v>22</v>
      </c>
      <c r="G74">
        <v>1</v>
      </c>
      <c r="H74">
        <v>1</v>
      </c>
      <c r="I74">
        <v>0</v>
      </c>
      <c r="J74">
        <v>4</v>
      </c>
      <c r="L74">
        <f t="shared" si="2"/>
        <v>126877696</v>
      </c>
      <c r="M74">
        <v>0.9</v>
      </c>
      <c r="N74">
        <f t="shared" si="3"/>
        <v>385967454.36428457</v>
      </c>
    </row>
    <row r="75" spans="1:14" x14ac:dyDescent="0.4">
      <c r="A75" t="s">
        <v>54</v>
      </c>
      <c r="B75">
        <v>8.74257287049999E-2</v>
      </c>
      <c r="C75" t="s">
        <v>55</v>
      </c>
      <c r="D75">
        <v>256</v>
      </c>
      <c r="E75">
        <v>1024</v>
      </c>
      <c r="F75">
        <v>1</v>
      </c>
      <c r="G75">
        <v>1</v>
      </c>
      <c r="J75">
        <v>4</v>
      </c>
      <c r="L75">
        <f t="shared" si="2"/>
        <v>262144</v>
      </c>
      <c r="M75">
        <v>0.9</v>
      </c>
      <c r="N75">
        <f t="shared" si="3"/>
        <v>82505.268812316586</v>
      </c>
    </row>
    <row r="76" spans="1:14" x14ac:dyDescent="0.4">
      <c r="A76" t="s">
        <v>56</v>
      </c>
      <c r="B76">
        <v>9.1968626250000005E-2</v>
      </c>
      <c r="C76" t="s">
        <v>55</v>
      </c>
      <c r="D76">
        <v>256</v>
      </c>
      <c r="E76">
        <v>1024</v>
      </c>
      <c r="F76">
        <v>1</v>
      </c>
      <c r="G76">
        <v>1</v>
      </c>
      <c r="J76">
        <v>4</v>
      </c>
      <c r="L76">
        <f t="shared" si="2"/>
        <v>262144</v>
      </c>
      <c r="M76">
        <v>0.9</v>
      </c>
      <c r="N76">
        <f t="shared" si="3"/>
        <v>86792.484814848009</v>
      </c>
    </row>
    <row r="77" spans="1:14" x14ac:dyDescent="0.4">
      <c r="A77" t="s">
        <v>13</v>
      </c>
      <c r="B77">
        <v>8.7361041564999894E-2</v>
      </c>
      <c r="C77" t="s">
        <v>46</v>
      </c>
      <c r="D77">
        <v>256</v>
      </c>
      <c r="E77">
        <v>512</v>
      </c>
      <c r="F77">
        <v>22</v>
      </c>
      <c r="G77">
        <v>1</v>
      </c>
      <c r="H77">
        <v>1</v>
      </c>
      <c r="I77">
        <v>0</v>
      </c>
      <c r="J77">
        <v>4</v>
      </c>
      <c r="L77">
        <f t="shared" si="2"/>
        <v>63438848</v>
      </c>
      <c r="M77">
        <v>0.9</v>
      </c>
      <c r="N77">
        <f t="shared" si="3"/>
        <v>19951501.813069358</v>
      </c>
    </row>
    <row r="78" spans="1:14" x14ac:dyDescent="0.4">
      <c r="A78" t="s">
        <v>15</v>
      </c>
      <c r="B78">
        <v>9.2728155389999997E-2</v>
      </c>
      <c r="C78" t="s">
        <v>46</v>
      </c>
      <c r="D78">
        <v>1</v>
      </c>
      <c r="E78">
        <v>512</v>
      </c>
      <c r="F78">
        <v>22</v>
      </c>
      <c r="G78">
        <v>3</v>
      </c>
      <c r="H78">
        <v>1</v>
      </c>
      <c r="I78">
        <v>3</v>
      </c>
      <c r="J78">
        <v>4</v>
      </c>
      <c r="L78">
        <f t="shared" si="2"/>
        <v>2230272</v>
      </c>
      <c r="M78">
        <v>0.9</v>
      </c>
      <c r="N78">
        <f t="shared" si="3"/>
        <v>744512.43088067789</v>
      </c>
    </row>
    <row r="79" spans="1:14" x14ac:dyDescent="0.4">
      <c r="A79" t="s">
        <v>17</v>
      </c>
      <c r="B79">
        <v>8.0464129364999998E-2</v>
      </c>
      <c r="C79" t="s">
        <v>49</v>
      </c>
      <c r="D79">
        <v>512</v>
      </c>
      <c r="E79">
        <v>256</v>
      </c>
      <c r="F79">
        <v>22</v>
      </c>
      <c r="G79">
        <v>1</v>
      </c>
      <c r="H79">
        <v>1</v>
      </c>
      <c r="I79">
        <v>0</v>
      </c>
      <c r="J79">
        <v>4</v>
      </c>
      <c r="L79">
        <f t="shared" si="2"/>
        <v>63438848</v>
      </c>
      <c r="M79">
        <v>0.9</v>
      </c>
      <c r="N79">
        <f t="shared" si="3"/>
        <v>18376386.020058859</v>
      </c>
    </row>
    <row r="80" spans="1:14" x14ac:dyDescent="0.4">
      <c r="A80" t="s">
        <v>43</v>
      </c>
      <c r="B80">
        <v>8.8245536700000002E-2</v>
      </c>
      <c r="J80">
        <v>4</v>
      </c>
      <c r="L80">
        <f t="shared" si="2"/>
        <v>0</v>
      </c>
      <c r="M80">
        <v>0.9</v>
      </c>
      <c r="N80">
        <f t="shared" si="3"/>
        <v>0</v>
      </c>
    </row>
    <row r="81" spans="1:14" x14ac:dyDescent="0.4">
      <c r="A81" t="s">
        <v>45</v>
      </c>
      <c r="B81">
        <v>9.6595933250000002E-2</v>
      </c>
      <c r="C81" t="s">
        <v>46</v>
      </c>
      <c r="D81">
        <v>256</v>
      </c>
      <c r="E81">
        <v>256</v>
      </c>
      <c r="F81">
        <v>22</v>
      </c>
      <c r="G81">
        <v>1</v>
      </c>
      <c r="H81">
        <v>1</v>
      </c>
      <c r="I81">
        <v>0</v>
      </c>
      <c r="J81">
        <v>4</v>
      </c>
      <c r="L81">
        <f t="shared" si="2"/>
        <v>31719424</v>
      </c>
      <c r="M81">
        <v>0.9</v>
      </c>
      <c r="N81">
        <f>L81*J81*B80*M81</f>
        <v>10076751.3409015</v>
      </c>
    </row>
    <row r="82" spans="1:14" x14ac:dyDescent="0.4">
      <c r="A82" t="s">
        <v>47</v>
      </c>
      <c r="B82">
        <v>9.2443191699999899E-2</v>
      </c>
      <c r="C82" t="s">
        <v>46</v>
      </c>
      <c r="D82">
        <v>256</v>
      </c>
      <c r="E82">
        <v>256</v>
      </c>
      <c r="F82">
        <v>22</v>
      </c>
      <c r="G82">
        <v>1</v>
      </c>
      <c r="H82">
        <v>1</v>
      </c>
      <c r="I82">
        <v>0</v>
      </c>
      <c r="J82">
        <v>4</v>
      </c>
      <c r="L82">
        <f t="shared" si="2"/>
        <v>31719424</v>
      </c>
      <c r="M82">
        <v>0.9</v>
      </c>
      <c r="N82">
        <f>L82*J82*B80*M82</f>
        <v>10076751.3409015</v>
      </c>
    </row>
    <row r="83" spans="1:14" x14ac:dyDescent="0.4">
      <c r="A83" t="s">
        <v>48</v>
      </c>
      <c r="B83">
        <v>9.0434376379999903E-2</v>
      </c>
      <c r="C83" t="s">
        <v>49</v>
      </c>
      <c r="D83">
        <v>256</v>
      </c>
      <c r="E83">
        <v>1024</v>
      </c>
      <c r="F83">
        <v>22</v>
      </c>
      <c r="G83">
        <v>1</v>
      </c>
      <c r="H83">
        <v>1</v>
      </c>
      <c r="I83">
        <v>0</v>
      </c>
      <c r="J83">
        <v>4</v>
      </c>
      <c r="L83">
        <f t="shared" si="2"/>
        <v>126877696</v>
      </c>
      <c r="M83">
        <v>0.9</v>
      </c>
      <c r="N83">
        <f>L83*J83*B80*M83</f>
        <v>40307005.363605998</v>
      </c>
    </row>
    <row r="84" spans="1:14" x14ac:dyDescent="0.4">
      <c r="A84" t="s">
        <v>50</v>
      </c>
      <c r="B84">
        <f>B81*B82+B83</f>
        <v>9.9364012754870043E-2</v>
      </c>
      <c r="C84" t="s">
        <v>51</v>
      </c>
      <c r="D84">
        <v>507510784</v>
      </c>
      <c r="E84">
        <v>1</v>
      </c>
      <c r="F84">
        <v>1</v>
      </c>
      <c r="G84">
        <v>1</v>
      </c>
      <c r="H84">
        <v>1</v>
      </c>
      <c r="I84">
        <v>1</v>
      </c>
      <c r="J84">
        <v>4</v>
      </c>
      <c r="L84">
        <f t="shared" si="2"/>
        <v>507510784</v>
      </c>
      <c r="M84">
        <v>0.9</v>
      </c>
      <c r="N84">
        <f t="shared" si="3"/>
        <v>181541908.85259634</v>
      </c>
    </row>
    <row r="85" spans="1:14" x14ac:dyDescent="0.4">
      <c r="A85" t="s">
        <v>52</v>
      </c>
      <c r="B85">
        <v>0.84102764919999995</v>
      </c>
      <c r="C85" t="s">
        <v>53</v>
      </c>
      <c r="D85">
        <v>1024</v>
      </c>
      <c r="E85">
        <v>256</v>
      </c>
      <c r="F85">
        <v>22</v>
      </c>
      <c r="G85">
        <v>1</v>
      </c>
      <c r="H85">
        <v>1</v>
      </c>
      <c r="I85">
        <v>0</v>
      </c>
      <c r="J85">
        <v>4</v>
      </c>
      <c r="L85">
        <f t="shared" si="2"/>
        <v>126877696</v>
      </c>
      <c r="M85">
        <v>0.9</v>
      </c>
      <c r="N85">
        <f t="shared" si="3"/>
        <v>384147541.45005202</v>
      </c>
    </row>
    <row r="86" spans="1:14" x14ac:dyDescent="0.4">
      <c r="A86" t="s">
        <v>54</v>
      </c>
      <c r="B86">
        <v>8.8893831305000004E-2</v>
      </c>
      <c r="C86" t="s">
        <v>55</v>
      </c>
      <c r="D86">
        <v>256</v>
      </c>
      <c r="E86">
        <v>1024</v>
      </c>
      <c r="F86">
        <v>1</v>
      </c>
      <c r="G86">
        <v>1</v>
      </c>
      <c r="J86">
        <v>4</v>
      </c>
      <c r="L86">
        <f t="shared" si="2"/>
        <v>262144</v>
      </c>
      <c r="M86">
        <v>0.9</v>
      </c>
      <c r="N86">
        <f t="shared" si="3"/>
        <v>83890.744249024516</v>
      </c>
    </row>
    <row r="87" spans="1:14" x14ac:dyDescent="0.4">
      <c r="A87" t="s">
        <v>56</v>
      </c>
      <c r="B87">
        <v>8.8992501379999894E-2</v>
      </c>
      <c r="C87" t="s">
        <v>55</v>
      </c>
      <c r="D87">
        <v>256</v>
      </c>
      <c r="E87">
        <v>1024</v>
      </c>
      <c r="F87">
        <v>1</v>
      </c>
      <c r="G87">
        <v>1</v>
      </c>
      <c r="J87">
        <v>4</v>
      </c>
      <c r="L87">
        <f t="shared" si="2"/>
        <v>262144</v>
      </c>
      <c r="M87">
        <v>0.9</v>
      </c>
      <c r="N87">
        <f t="shared" si="3"/>
        <v>83983.861014331298</v>
      </c>
    </row>
    <row r="88" spans="1:14" x14ac:dyDescent="0.4">
      <c r="A88" t="s">
        <v>13</v>
      </c>
      <c r="B88">
        <v>8.8927415494999995E-2</v>
      </c>
      <c r="C88" t="s">
        <v>46</v>
      </c>
      <c r="D88">
        <v>256</v>
      </c>
      <c r="E88">
        <v>512</v>
      </c>
      <c r="F88">
        <v>22</v>
      </c>
      <c r="G88">
        <v>1</v>
      </c>
      <c r="H88">
        <v>1</v>
      </c>
      <c r="I88">
        <v>0</v>
      </c>
      <c r="J88">
        <v>4</v>
      </c>
      <c r="L88">
        <f t="shared" si="2"/>
        <v>63438848</v>
      </c>
      <c r="M88">
        <v>0.9</v>
      </c>
      <c r="N88">
        <f t="shared" si="3"/>
        <v>20309230.060632538</v>
      </c>
    </row>
    <row r="89" spans="1:14" x14ac:dyDescent="0.4">
      <c r="A89" t="s">
        <v>15</v>
      </c>
      <c r="B89">
        <v>9.0257048734999901E-2</v>
      </c>
      <c r="C89" t="s">
        <v>46</v>
      </c>
      <c r="D89">
        <v>1</v>
      </c>
      <c r="E89">
        <v>512</v>
      </c>
      <c r="F89">
        <v>22</v>
      </c>
      <c r="G89">
        <v>3</v>
      </c>
      <c r="H89">
        <v>1</v>
      </c>
      <c r="I89">
        <v>3</v>
      </c>
      <c r="J89">
        <v>4</v>
      </c>
      <c r="L89">
        <f t="shared" si="2"/>
        <v>2230272</v>
      </c>
      <c r="M89">
        <v>0.9</v>
      </c>
      <c r="N89">
        <f t="shared" si="3"/>
        <v>724671.96694670047</v>
      </c>
    </row>
    <row r="90" spans="1:14" x14ac:dyDescent="0.4">
      <c r="A90" t="s">
        <v>17</v>
      </c>
      <c r="B90">
        <v>7.9703323834999895E-2</v>
      </c>
      <c r="C90" t="s">
        <v>49</v>
      </c>
      <c r="D90">
        <v>512</v>
      </c>
      <c r="E90">
        <v>256</v>
      </c>
      <c r="F90">
        <v>22</v>
      </c>
      <c r="G90">
        <v>1</v>
      </c>
      <c r="H90">
        <v>1</v>
      </c>
      <c r="I90">
        <v>0</v>
      </c>
      <c r="J90">
        <v>4</v>
      </c>
      <c r="L90">
        <f t="shared" si="2"/>
        <v>63438848</v>
      </c>
      <c r="M90">
        <v>0.9</v>
      </c>
      <c r="N90">
        <f t="shared" si="3"/>
        <v>18202633.365108006</v>
      </c>
    </row>
    <row r="91" spans="1:14" x14ac:dyDescent="0.4">
      <c r="A91" t="s">
        <v>43</v>
      </c>
      <c r="B91">
        <v>8.9946672125000002E-2</v>
      </c>
      <c r="J91">
        <v>4</v>
      </c>
      <c r="L91">
        <f t="shared" si="2"/>
        <v>0</v>
      </c>
      <c r="M91">
        <v>0.9</v>
      </c>
      <c r="N91">
        <f t="shared" si="3"/>
        <v>0</v>
      </c>
    </row>
    <row r="92" spans="1:14" x14ac:dyDescent="0.4">
      <c r="A92" t="s">
        <v>45</v>
      </c>
      <c r="B92">
        <v>9.5426630839999901E-2</v>
      </c>
      <c r="C92" t="s">
        <v>46</v>
      </c>
      <c r="D92">
        <v>256</v>
      </c>
      <c r="E92">
        <v>256</v>
      </c>
      <c r="F92">
        <v>22</v>
      </c>
      <c r="G92">
        <v>1</v>
      </c>
      <c r="H92">
        <v>1</v>
      </c>
      <c r="I92">
        <v>0</v>
      </c>
      <c r="J92">
        <v>4</v>
      </c>
      <c r="L92">
        <f t="shared" si="2"/>
        <v>31719424</v>
      </c>
      <c r="M92">
        <v>0.9</v>
      </c>
      <c r="N92">
        <f>L92*J92*B91*M92</f>
        <v>10271003.869878683</v>
      </c>
    </row>
    <row r="93" spans="1:14" x14ac:dyDescent="0.4">
      <c r="A93" t="s">
        <v>47</v>
      </c>
      <c r="B93">
        <v>9.2220227194999893E-2</v>
      </c>
      <c r="C93" t="s">
        <v>46</v>
      </c>
      <c r="D93">
        <v>256</v>
      </c>
      <c r="E93">
        <v>256</v>
      </c>
      <c r="F93">
        <v>22</v>
      </c>
      <c r="G93">
        <v>1</v>
      </c>
      <c r="H93">
        <v>1</v>
      </c>
      <c r="I93">
        <v>0</v>
      </c>
      <c r="J93">
        <v>4</v>
      </c>
      <c r="L93">
        <f t="shared" si="2"/>
        <v>31719424</v>
      </c>
      <c r="M93">
        <v>0.9</v>
      </c>
      <c r="N93">
        <f>L93*J93*B91*M93</f>
        <v>10271003.869878683</v>
      </c>
    </row>
    <row r="94" spans="1:14" x14ac:dyDescent="0.4">
      <c r="A94" t="s">
        <v>48</v>
      </c>
      <c r="B94">
        <v>8.9755372870000003E-2</v>
      </c>
      <c r="C94" t="s">
        <v>49</v>
      </c>
      <c r="D94">
        <v>256</v>
      </c>
      <c r="E94">
        <v>1024</v>
      </c>
      <c r="F94">
        <v>22</v>
      </c>
      <c r="G94">
        <v>1</v>
      </c>
      <c r="H94">
        <v>1</v>
      </c>
      <c r="I94">
        <v>0</v>
      </c>
      <c r="J94">
        <v>4</v>
      </c>
      <c r="L94">
        <f t="shared" si="2"/>
        <v>126877696</v>
      </c>
      <c r="M94">
        <v>0.9</v>
      </c>
      <c r="N94">
        <f>L94*J94*B91*M94</f>
        <v>41084015.479514733</v>
      </c>
    </row>
    <row r="95" spans="1:14" x14ac:dyDescent="0.4">
      <c r="A95" t="s">
        <v>50</v>
      </c>
      <c r="B95">
        <f>B92*B93+B94</f>
        <v>9.8555638446518185E-2</v>
      </c>
      <c r="C95" t="s">
        <v>51</v>
      </c>
      <c r="D95">
        <v>507510784</v>
      </c>
      <c r="E95">
        <v>1</v>
      </c>
      <c r="F95">
        <v>1</v>
      </c>
      <c r="G95">
        <v>1</v>
      </c>
      <c r="H95">
        <v>1</v>
      </c>
      <c r="I95">
        <v>1</v>
      </c>
      <c r="J95">
        <v>4</v>
      </c>
      <c r="L95">
        <f t="shared" si="2"/>
        <v>507510784</v>
      </c>
      <c r="M95">
        <v>0.9</v>
      </c>
      <c r="N95">
        <f t="shared" si="3"/>
        <v>180064977.60820675</v>
      </c>
    </row>
    <row r="96" spans="1:14" x14ac:dyDescent="0.4">
      <c r="A96" t="s">
        <v>52</v>
      </c>
      <c r="B96">
        <v>0.84997294139999902</v>
      </c>
      <c r="C96" t="s">
        <v>53</v>
      </c>
      <c r="D96">
        <v>1024</v>
      </c>
      <c r="E96">
        <v>256</v>
      </c>
      <c r="F96">
        <v>22</v>
      </c>
      <c r="G96">
        <v>1</v>
      </c>
      <c r="H96">
        <v>1</v>
      </c>
      <c r="I96">
        <v>0</v>
      </c>
      <c r="J96">
        <v>4</v>
      </c>
      <c r="L96">
        <f t="shared" si="2"/>
        <v>126877696</v>
      </c>
      <c r="M96">
        <v>0.9</v>
      </c>
      <c r="N96">
        <f>L96*J96*B96*M96</f>
        <v>388233390.48182958</v>
      </c>
    </row>
    <row r="97" spans="1:14" x14ac:dyDescent="0.4">
      <c r="A97" t="s">
        <v>54</v>
      </c>
      <c r="B97">
        <v>9.0215530079999995E-2</v>
      </c>
      <c r="C97" t="s">
        <v>55</v>
      </c>
      <c r="D97">
        <v>256</v>
      </c>
      <c r="E97">
        <v>1024</v>
      </c>
      <c r="F97">
        <v>1</v>
      </c>
      <c r="G97">
        <v>1</v>
      </c>
      <c r="J97">
        <v>4</v>
      </c>
      <c r="L97">
        <f t="shared" si="2"/>
        <v>262144</v>
      </c>
      <c r="M97">
        <v>0.9</v>
      </c>
      <c r="N97">
        <f t="shared" si="3"/>
        <v>85138.055702249476</v>
      </c>
    </row>
    <row r="98" spans="1:14" x14ac:dyDescent="0.4">
      <c r="A98" t="s">
        <v>56</v>
      </c>
      <c r="B98">
        <v>8.5781020449999995E-2</v>
      </c>
      <c r="C98" t="s">
        <v>55</v>
      </c>
      <c r="D98">
        <v>256</v>
      </c>
      <c r="E98">
        <v>1024</v>
      </c>
      <c r="F98">
        <v>1</v>
      </c>
      <c r="G98">
        <v>1</v>
      </c>
      <c r="J98">
        <v>4</v>
      </c>
      <c r="L98">
        <f t="shared" si="2"/>
        <v>262144</v>
      </c>
      <c r="M98">
        <v>0.9</v>
      </c>
      <c r="N98">
        <f t="shared" si="3"/>
        <v>80953.127369441281</v>
      </c>
    </row>
    <row r="99" spans="1:14" x14ac:dyDescent="0.4">
      <c r="A99" t="s">
        <v>24</v>
      </c>
      <c r="B99">
        <v>9.0404416165000001E-2</v>
      </c>
      <c r="C99" t="s">
        <v>58</v>
      </c>
      <c r="D99">
        <v>256</v>
      </c>
      <c r="E99">
        <v>320</v>
      </c>
      <c r="F99">
        <v>22</v>
      </c>
      <c r="G99">
        <v>3</v>
      </c>
      <c r="H99">
        <v>2</v>
      </c>
      <c r="I99">
        <v>1</v>
      </c>
      <c r="J99">
        <v>4</v>
      </c>
      <c r="L99">
        <f t="shared" si="2"/>
        <v>356843520</v>
      </c>
      <c r="M99">
        <v>0.9</v>
      </c>
      <c r="N99">
        <f t="shared" si="3"/>
        <v>116136828.3163086</v>
      </c>
    </row>
    <row r="100" spans="1:14" x14ac:dyDescent="0.4">
      <c r="A100" t="s">
        <v>13</v>
      </c>
      <c r="B100">
        <v>9.2526294780000004E-2</v>
      </c>
      <c r="C100" t="s">
        <v>59</v>
      </c>
      <c r="D100">
        <v>320</v>
      </c>
      <c r="E100">
        <v>640</v>
      </c>
      <c r="F100">
        <v>22</v>
      </c>
      <c r="G100">
        <v>1</v>
      </c>
      <c r="H100">
        <v>1</v>
      </c>
      <c r="I100">
        <v>0</v>
      </c>
      <c r="J100">
        <v>4</v>
      </c>
      <c r="L100">
        <f t="shared" si="2"/>
        <v>99123200</v>
      </c>
      <c r="M100">
        <v>0.9</v>
      </c>
      <c r="N100">
        <f t="shared" si="3"/>
        <v>33017408.721852828</v>
      </c>
    </row>
    <row r="101" spans="1:14" x14ac:dyDescent="0.4">
      <c r="A101" t="s">
        <v>15</v>
      </c>
      <c r="B101">
        <v>8.5332741724999994E-2</v>
      </c>
      <c r="C101" t="s">
        <v>60</v>
      </c>
      <c r="D101">
        <v>1</v>
      </c>
      <c r="E101">
        <v>640</v>
      </c>
      <c r="F101">
        <v>22</v>
      </c>
      <c r="G101">
        <v>3</v>
      </c>
      <c r="H101">
        <v>1</v>
      </c>
      <c r="I101">
        <v>3</v>
      </c>
      <c r="J101">
        <v>4</v>
      </c>
      <c r="L101">
        <f t="shared" si="2"/>
        <v>2787840</v>
      </c>
      <c r="M101">
        <v>0.9</v>
      </c>
      <c r="N101">
        <f t="shared" si="3"/>
        <v>856418.51048624632</v>
      </c>
    </row>
    <row r="102" spans="1:14" x14ac:dyDescent="0.4">
      <c r="A102" t="s">
        <v>17</v>
      </c>
      <c r="B102">
        <v>7.1069796089999998E-2</v>
      </c>
      <c r="C102" t="s">
        <v>61</v>
      </c>
      <c r="D102">
        <v>640</v>
      </c>
      <c r="E102">
        <v>320</v>
      </c>
      <c r="F102">
        <v>22</v>
      </c>
      <c r="G102">
        <v>1</v>
      </c>
      <c r="H102">
        <v>1</v>
      </c>
      <c r="I102">
        <v>0</v>
      </c>
      <c r="J102">
        <v>4</v>
      </c>
      <c r="L102">
        <f t="shared" si="2"/>
        <v>99123200</v>
      </c>
      <c r="M102">
        <v>0.9</v>
      </c>
      <c r="N102">
        <f t="shared" si="3"/>
        <v>25360796.202437837</v>
      </c>
    </row>
    <row r="103" spans="1:14" x14ac:dyDescent="0.4">
      <c r="A103" t="s">
        <v>43</v>
      </c>
      <c r="B103">
        <v>9.3761605989999899E-2</v>
      </c>
      <c r="J103">
        <v>4</v>
      </c>
      <c r="L103">
        <f t="shared" si="2"/>
        <v>0</v>
      </c>
      <c r="M103">
        <v>0.9</v>
      </c>
      <c r="N103">
        <f t="shared" si="3"/>
        <v>0</v>
      </c>
    </row>
    <row r="104" spans="1:14" x14ac:dyDescent="0.4">
      <c r="A104" t="s">
        <v>45</v>
      </c>
      <c r="B104">
        <v>8.7909042459999906E-2</v>
      </c>
      <c r="C104" t="s">
        <v>62</v>
      </c>
      <c r="D104">
        <v>320</v>
      </c>
      <c r="E104">
        <v>320</v>
      </c>
      <c r="F104">
        <v>22</v>
      </c>
      <c r="G104">
        <v>1</v>
      </c>
      <c r="H104">
        <v>1</v>
      </c>
      <c r="I104">
        <v>0</v>
      </c>
      <c r="J104">
        <v>4</v>
      </c>
      <c r="L104">
        <f t="shared" si="2"/>
        <v>49561600</v>
      </c>
      <c r="M104">
        <v>0.9</v>
      </c>
      <c r="N104">
        <f>L104*J104*B103*M104</f>
        <v>16729110.761162324</v>
      </c>
    </row>
    <row r="105" spans="1:14" x14ac:dyDescent="0.4">
      <c r="A105" t="s">
        <v>47</v>
      </c>
      <c r="B105">
        <v>8.5674586809999898E-2</v>
      </c>
      <c r="C105" t="s">
        <v>62</v>
      </c>
      <c r="D105">
        <v>320</v>
      </c>
      <c r="E105">
        <v>320</v>
      </c>
      <c r="F105">
        <v>22</v>
      </c>
      <c r="G105">
        <v>1</v>
      </c>
      <c r="H105">
        <v>1</v>
      </c>
      <c r="I105">
        <v>0</v>
      </c>
      <c r="J105">
        <v>4</v>
      </c>
      <c r="L105">
        <f t="shared" si="2"/>
        <v>49561600</v>
      </c>
      <c r="M105">
        <v>0.9</v>
      </c>
      <c r="N105">
        <f>L105*J105*B103*M105</f>
        <v>16729110.761162324</v>
      </c>
    </row>
    <row r="106" spans="1:14" x14ac:dyDescent="0.4">
      <c r="A106" t="s">
        <v>48</v>
      </c>
      <c r="B106">
        <v>8.3093086194999999E-2</v>
      </c>
      <c r="C106" t="s">
        <v>63</v>
      </c>
      <c r="D106">
        <v>320</v>
      </c>
      <c r="E106">
        <v>1280</v>
      </c>
      <c r="F106">
        <v>22</v>
      </c>
      <c r="G106">
        <v>1</v>
      </c>
      <c r="H106">
        <v>1</v>
      </c>
      <c r="I106">
        <v>0</v>
      </c>
      <c r="J106">
        <v>4</v>
      </c>
      <c r="L106">
        <f t="shared" si="2"/>
        <v>198246400</v>
      </c>
      <c r="M106">
        <v>0.9</v>
      </c>
      <c r="N106">
        <f>L106*J106*B103*M106</f>
        <v>66916443.044649296</v>
      </c>
    </row>
    <row r="107" spans="1:14" x14ac:dyDescent="0.4">
      <c r="A107" t="s">
        <v>50</v>
      </c>
      <c r="B107">
        <f>B104*B105+B106</f>
        <v>9.0624657084623222E-2</v>
      </c>
      <c r="C107" t="s">
        <v>64</v>
      </c>
      <c r="D107">
        <v>792985600</v>
      </c>
      <c r="E107">
        <v>1</v>
      </c>
      <c r="F107">
        <v>1</v>
      </c>
      <c r="G107">
        <v>1</v>
      </c>
      <c r="J107">
        <v>4</v>
      </c>
      <c r="L107">
        <f t="shared" si="2"/>
        <v>792985600</v>
      </c>
      <c r="M107">
        <v>0.9</v>
      </c>
      <c r="N107">
        <f t="shared" si="3"/>
        <v>258710573.0629591</v>
      </c>
    </row>
    <row r="108" spans="1:14" x14ac:dyDescent="0.4">
      <c r="A108" t="s">
        <v>52</v>
      </c>
      <c r="B108">
        <v>0.7200952531</v>
      </c>
      <c r="C108" t="s">
        <v>65</v>
      </c>
      <c r="D108">
        <v>1280</v>
      </c>
      <c r="E108">
        <v>320</v>
      </c>
      <c r="F108">
        <v>22</v>
      </c>
      <c r="G108">
        <v>1</v>
      </c>
      <c r="H108">
        <v>1</v>
      </c>
      <c r="I108">
        <v>0</v>
      </c>
      <c r="J108">
        <v>4</v>
      </c>
      <c r="L108">
        <f t="shared" si="2"/>
        <v>198246400</v>
      </c>
      <c r="M108">
        <v>0.9</v>
      </c>
      <c r="N108">
        <f t="shared" si="3"/>
        <v>513922649.70298988</v>
      </c>
    </row>
    <row r="109" spans="1:14" x14ac:dyDescent="0.4">
      <c r="A109" t="s">
        <v>54</v>
      </c>
      <c r="B109">
        <v>9.5305131434999996E-2</v>
      </c>
      <c r="C109" t="s">
        <v>66</v>
      </c>
      <c r="D109">
        <v>320</v>
      </c>
      <c r="E109">
        <v>1280</v>
      </c>
      <c r="F109">
        <v>1</v>
      </c>
      <c r="G109">
        <v>1</v>
      </c>
      <c r="J109">
        <v>4</v>
      </c>
      <c r="L109">
        <f t="shared" si="2"/>
        <v>409600</v>
      </c>
      <c r="M109">
        <v>0.9</v>
      </c>
      <c r="N109">
        <f t="shared" si="3"/>
        <v>140533.1346087936</v>
      </c>
    </row>
    <row r="110" spans="1:14" x14ac:dyDescent="0.4">
      <c r="A110" t="s">
        <v>56</v>
      </c>
      <c r="B110">
        <v>8.1629757919999907E-2</v>
      </c>
      <c r="C110" t="s">
        <v>66</v>
      </c>
      <c r="D110">
        <v>320</v>
      </c>
      <c r="E110">
        <v>1280</v>
      </c>
      <c r="F110">
        <v>1</v>
      </c>
      <c r="G110">
        <v>1</v>
      </c>
      <c r="J110">
        <v>4</v>
      </c>
      <c r="L110">
        <f t="shared" si="2"/>
        <v>409600</v>
      </c>
      <c r="M110">
        <v>0.9</v>
      </c>
      <c r="N110">
        <f t="shared" si="3"/>
        <v>120367.97583851506</v>
      </c>
    </row>
    <row r="111" spans="1:14" x14ac:dyDescent="0.4">
      <c r="A111" t="s">
        <v>13</v>
      </c>
      <c r="B111">
        <v>9.6687362799999996E-2</v>
      </c>
      <c r="C111" t="s">
        <v>59</v>
      </c>
      <c r="D111">
        <v>320</v>
      </c>
      <c r="E111">
        <v>640</v>
      </c>
      <c r="F111">
        <v>22</v>
      </c>
      <c r="G111">
        <v>1</v>
      </c>
      <c r="H111">
        <v>1</v>
      </c>
      <c r="I111">
        <v>0</v>
      </c>
      <c r="J111">
        <v>4</v>
      </c>
      <c r="L111">
        <f t="shared" si="2"/>
        <v>99123200</v>
      </c>
      <c r="M111">
        <v>0.9</v>
      </c>
      <c r="N111">
        <f t="shared" si="3"/>
        <v>34502258.881069057</v>
      </c>
    </row>
    <row r="112" spans="1:14" x14ac:dyDescent="0.4">
      <c r="A112" t="s">
        <v>15</v>
      </c>
      <c r="B112">
        <v>8.3701252554999994E-2</v>
      </c>
      <c r="C112" t="s">
        <v>60</v>
      </c>
      <c r="D112">
        <v>1</v>
      </c>
      <c r="E112">
        <v>640</v>
      </c>
      <c r="F112">
        <v>22</v>
      </c>
      <c r="G112">
        <v>3</v>
      </c>
      <c r="H112">
        <v>1</v>
      </c>
      <c r="I112">
        <v>3</v>
      </c>
      <c r="J112">
        <v>4</v>
      </c>
      <c r="L112">
        <f t="shared" si="2"/>
        <v>2787840</v>
      </c>
      <c r="M112">
        <v>0.9</v>
      </c>
      <c r="N112">
        <f t="shared" si="3"/>
        <v>840044.51972255227</v>
      </c>
    </row>
    <row r="113" spans="1:14" x14ac:dyDescent="0.4">
      <c r="A113" t="s">
        <v>17</v>
      </c>
      <c r="B113">
        <v>6.7595731320000005E-2</v>
      </c>
      <c r="C113" t="s">
        <v>61</v>
      </c>
      <c r="D113">
        <v>640</v>
      </c>
      <c r="E113">
        <v>320</v>
      </c>
      <c r="F113">
        <v>22</v>
      </c>
      <c r="G113">
        <v>1</v>
      </c>
      <c r="H113">
        <v>1</v>
      </c>
      <c r="I113">
        <v>0</v>
      </c>
      <c r="J113">
        <v>4</v>
      </c>
      <c r="L113">
        <f t="shared" si="2"/>
        <v>99123200</v>
      </c>
      <c r="M113">
        <v>0.9</v>
      </c>
      <c r="N113">
        <f t="shared" si="3"/>
        <v>24121098.701203052</v>
      </c>
    </row>
    <row r="114" spans="1:14" x14ac:dyDescent="0.4">
      <c r="A114" t="s">
        <v>43</v>
      </c>
      <c r="B114">
        <v>9.9185885880000005E-2</v>
      </c>
      <c r="J114">
        <v>4</v>
      </c>
      <c r="L114">
        <f t="shared" si="2"/>
        <v>0</v>
      </c>
      <c r="M114">
        <v>0.9</v>
      </c>
      <c r="N114">
        <f t="shared" si="3"/>
        <v>0</v>
      </c>
    </row>
    <row r="115" spans="1:14" x14ac:dyDescent="0.4">
      <c r="A115" t="s">
        <v>45</v>
      </c>
      <c r="B115">
        <v>8.6035600074999996E-2</v>
      </c>
      <c r="C115" t="s">
        <v>62</v>
      </c>
      <c r="D115">
        <v>320</v>
      </c>
      <c r="E115">
        <v>320</v>
      </c>
      <c r="F115">
        <v>22</v>
      </c>
      <c r="G115">
        <v>1</v>
      </c>
      <c r="H115">
        <v>1</v>
      </c>
      <c r="I115">
        <v>0</v>
      </c>
      <c r="J115">
        <v>4</v>
      </c>
      <c r="L115">
        <f t="shared" si="2"/>
        <v>49561600</v>
      </c>
      <c r="M115">
        <v>0.9</v>
      </c>
      <c r="N115">
        <f>L115*J115*B114*M115</f>
        <v>17696920.325868752</v>
      </c>
    </row>
    <row r="116" spans="1:14" x14ac:dyDescent="0.4">
      <c r="A116" t="s">
        <v>47</v>
      </c>
      <c r="B116">
        <v>8.1562685444999894E-2</v>
      </c>
      <c r="C116" t="s">
        <v>62</v>
      </c>
      <c r="D116">
        <v>320</v>
      </c>
      <c r="E116">
        <v>320</v>
      </c>
      <c r="F116">
        <v>22</v>
      </c>
      <c r="G116">
        <v>1</v>
      </c>
      <c r="H116">
        <v>1</v>
      </c>
      <c r="I116">
        <v>0</v>
      </c>
      <c r="J116">
        <v>4</v>
      </c>
      <c r="L116">
        <f t="shared" si="2"/>
        <v>49561600</v>
      </c>
      <c r="M116">
        <v>0.9</v>
      </c>
      <c r="N116">
        <f>L116*J116*B114*M116</f>
        <v>17696920.325868752</v>
      </c>
    </row>
    <row r="117" spans="1:14" x14ac:dyDescent="0.4">
      <c r="A117" t="s">
        <v>48</v>
      </c>
      <c r="B117">
        <v>8.1758962344999894E-2</v>
      </c>
      <c r="C117" t="s">
        <v>63</v>
      </c>
      <c r="D117">
        <v>320</v>
      </c>
      <c r="E117">
        <v>1280</v>
      </c>
      <c r="F117">
        <v>22</v>
      </c>
      <c r="G117">
        <v>1</v>
      </c>
      <c r="H117">
        <v>1</v>
      </c>
      <c r="I117">
        <v>0</v>
      </c>
      <c r="J117">
        <v>4</v>
      </c>
      <c r="L117">
        <f t="shared" si="2"/>
        <v>198246400</v>
      </c>
      <c r="M117">
        <v>0.9</v>
      </c>
      <c r="N117">
        <f>L117*J117*B114*M117</f>
        <v>70787681.303475007</v>
      </c>
    </row>
    <row r="118" spans="1:14" x14ac:dyDescent="0.4">
      <c r="A118" t="s">
        <v>50</v>
      </c>
      <c r="B118">
        <f>B115*B116+B117</f>
        <v>8.8776256930988923E-2</v>
      </c>
      <c r="C118" t="s">
        <v>64</v>
      </c>
      <c r="D118">
        <v>792985600</v>
      </c>
      <c r="E118">
        <v>1</v>
      </c>
      <c r="F118">
        <v>1</v>
      </c>
      <c r="G118">
        <v>1</v>
      </c>
      <c r="J118">
        <v>4</v>
      </c>
      <c r="L118">
        <f t="shared" si="2"/>
        <v>792985600</v>
      </c>
      <c r="M118">
        <v>0.9</v>
      </c>
      <c r="N118">
        <f t="shared" si="3"/>
        <v>253433856.12542787</v>
      </c>
    </row>
    <row r="119" spans="1:14" x14ac:dyDescent="0.4">
      <c r="A119" t="s">
        <v>52</v>
      </c>
      <c r="B119">
        <v>0.66822413839999995</v>
      </c>
      <c r="C119" t="s">
        <v>67</v>
      </c>
      <c r="D119">
        <v>1280</v>
      </c>
      <c r="E119">
        <v>320</v>
      </c>
      <c r="F119">
        <v>22</v>
      </c>
      <c r="G119">
        <v>1</v>
      </c>
      <c r="H119">
        <v>1</v>
      </c>
      <c r="I119">
        <v>0</v>
      </c>
      <c r="J119">
        <v>4</v>
      </c>
      <c r="L119">
        <f t="shared" si="2"/>
        <v>198246400</v>
      </c>
      <c r="M119">
        <v>0.9</v>
      </c>
      <c r="N119">
        <f t="shared" si="3"/>
        <v>476902907.39124626</v>
      </c>
    </row>
    <row r="120" spans="1:14" x14ac:dyDescent="0.4">
      <c r="A120" t="s">
        <v>54</v>
      </c>
      <c r="B120">
        <v>0.102192874484999</v>
      </c>
      <c r="C120" t="s">
        <v>66</v>
      </c>
      <c r="D120">
        <v>320</v>
      </c>
      <c r="E120">
        <v>1280</v>
      </c>
      <c r="F120">
        <v>1</v>
      </c>
      <c r="G120">
        <v>1</v>
      </c>
      <c r="J120">
        <v>4</v>
      </c>
      <c r="L120">
        <f t="shared" si="2"/>
        <v>409600</v>
      </c>
      <c r="M120">
        <v>0.9</v>
      </c>
      <c r="N120">
        <f t="shared" si="3"/>
        <v>150689.52500060012</v>
      </c>
    </row>
    <row r="121" spans="1:14" x14ac:dyDescent="0.4">
      <c r="A121" t="s">
        <v>56</v>
      </c>
      <c r="B121">
        <v>7.9668497360000007E-2</v>
      </c>
      <c r="C121" t="s">
        <v>66</v>
      </c>
      <c r="D121">
        <v>320</v>
      </c>
      <c r="E121">
        <v>1280</v>
      </c>
      <c r="F121">
        <v>1</v>
      </c>
      <c r="G121">
        <v>1</v>
      </c>
      <c r="J121">
        <v>4</v>
      </c>
      <c r="L121">
        <f t="shared" ref="L121:L173" si="4">D121*E121*F121*F121*G121*G121</f>
        <v>409600</v>
      </c>
      <c r="M121">
        <v>0.9</v>
      </c>
      <c r="N121">
        <f t="shared" ref="N121:N172" si="5">L121*J121*B121*M121</f>
        <v>117475.97946716161</v>
      </c>
    </row>
    <row r="122" spans="1:14" x14ac:dyDescent="0.4">
      <c r="A122" t="s">
        <v>68</v>
      </c>
      <c r="J122">
        <v>4</v>
      </c>
      <c r="L122">
        <f t="shared" si="4"/>
        <v>0</v>
      </c>
      <c r="M122">
        <v>0.9</v>
      </c>
      <c r="N122">
        <f t="shared" si="5"/>
        <v>0</v>
      </c>
    </row>
    <row r="123" spans="1:14" x14ac:dyDescent="0.4">
      <c r="J123">
        <v>4</v>
      </c>
      <c r="L123">
        <f t="shared" si="4"/>
        <v>0</v>
      </c>
      <c r="M123">
        <v>0.9</v>
      </c>
      <c r="N123">
        <f t="shared" si="5"/>
        <v>0</v>
      </c>
    </row>
    <row r="124" spans="1:14" x14ac:dyDescent="0.4">
      <c r="A124" t="s">
        <v>68</v>
      </c>
      <c r="J124">
        <v>4</v>
      </c>
      <c r="L124">
        <f t="shared" si="4"/>
        <v>0</v>
      </c>
      <c r="M124">
        <v>0.9</v>
      </c>
      <c r="N124">
        <f t="shared" si="5"/>
        <v>0</v>
      </c>
    </row>
    <row r="125" spans="1:14" x14ac:dyDescent="0.4">
      <c r="A125" t="s">
        <v>69</v>
      </c>
      <c r="B125">
        <v>0.105568826</v>
      </c>
      <c r="J125">
        <v>4</v>
      </c>
      <c r="L125">
        <f t="shared" si="4"/>
        <v>0</v>
      </c>
      <c r="M125">
        <v>0.9</v>
      </c>
      <c r="N125">
        <f t="shared" si="5"/>
        <v>0</v>
      </c>
    </row>
    <row r="126" spans="1:14" x14ac:dyDescent="0.4">
      <c r="A126" t="s">
        <v>93</v>
      </c>
      <c r="B126">
        <v>3.1406249999999997E-2</v>
      </c>
      <c r="C126" t="s">
        <v>70</v>
      </c>
      <c r="D126">
        <v>320</v>
      </c>
      <c r="E126">
        <v>20</v>
      </c>
      <c r="F126">
        <v>1</v>
      </c>
      <c r="G126">
        <v>1</v>
      </c>
      <c r="H126">
        <v>1</v>
      </c>
      <c r="I126">
        <v>0</v>
      </c>
      <c r="J126">
        <v>4</v>
      </c>
      <c r="L126">
        <f t="shared" si="4"/>
        <v>6400</v>
      </c>
      <c r="M126">
        <v>0.9</v>
      </c>
      <c r="N126">
        <f t="shared" si="5"/>
        <v>723.59999999999991</v>
      </c>
    </row>
    <row r="127" spans="1:14" x14ac:dyDescent="0.4">
      <c r="A127" t="s">
        <v>94</v>
      </c>
      <c r="B127">
        <v>0.153</v>
      </c>
      <c r="C127" t="s">
        <v>71</v>
      </c>
      <c r="D127">
        <v>20</v>
      </c>
      <c r="E127">
        <v>320</v>
      </c>
      <c r="F127">
        <v>1</v>
      </c>
      <c r="G127">
        <v>1</v>
      </c>
      <c r="H127">
        <v>1</v>
      </c>
      <c r="I127">
        <v>0</v>
      </c>
      <c r="J127">
        <v>4</v>
      </c>
      <c r="L127">
        <f t="shared" si="4"/>
        <v>6400</v>
      </c>
      <c r="M127">
        <v>0.9</v>
      </c>
      <c r="N127">
        <f t="shared" si="5"/>
        <v>3525.12</v>
      </c>
    </row>
    <row r="128" spans="1:14" x14ac:dyDescent="0.4">
      <c r="A128" t="s">
        <v>95</v>
      </c>
      <c r="B128">
        <v>0.76388671899999905</v>
      </c>
      <c r="C128" t="s">
        <v>70</v>
      </c>
      <c r="D128">
        <v>320</v>
      </c>
      <c r="E128">
        <v>20</v>
      </c>
      <c r="F128">
        <v>1</v>
      </c>
      <c r="G128">
        <v>1</v>
      </c>
      <c r="H128">
        <v>1</v>
      </c>
      <c r="I128">
        <v>0</v>
      </c>
      <c r="J128">
        <v>4</v>
      </c>
      <c r="L128">
        <f t="shared" si="4"/>
        <v>6400</v>
      </c>
      <c r="M128">
        <v>0.9</v>
      </c>
      <c r="N128">
        <f t="shared" si="5"/>
        <v>17599.95000575998</v>
      </c>
    </row>
    <row r="129" spans="1:14" x14ac:dyDescent="0.4">
      <c r="A129" t="s">
        <v>96</v>
      </c>
      <c r="B129">
        <v>0.1615625</v>
      </c>
      <c r="C129" t="s">
        <v>71</v>
      </c>
      <c r="D129">
        <v>20</v>
      </c>
      <c r="E129">
        <v>320</v>
      </c>
      <c r="F129">
        <v>1</v>
      </c>
      <c r="G129">
        <v>1</v>
      </c>
      <c r="H129">
        <v>1</v>
      </c>
      <c r="I129">
        <v>0</v>
      </c>
      <c r="J129">
        <v>4</v>
      </c>
      <c r="L129">
        <f t="shared" si="4"/>
        <v>6400</v>
      </c>
      <c r="M129">
        <v>0.9</v>
      </c>
      <c r="N129">
        <f t="shared" si="5"/>
        <v>3722.4</v>
      </c>
    </row>
    <row r="130" spans="1:14" x14ac:dyDescent="0.4">
      <c r="A130" t="s">
        <v>72</v>
      </c>
      <c r="B130">
        <v>0.114474552969999</v>
      </c>
      <c r="D130">
        <v>320</v>
      </c>
      <c r="E130">
        <v>640</v>
      </c>
      <c r="F130">
        <v>22</v>
      </c>
      <c r="G130">
        <v>1</v>
      </c>
      <c r="J130">
        <v>4</v>
      </c>
      <c r="L130">
        <f t="shared" si="4"/>
        <v>99123200</v>
      </c>
      <c r="M130">
        <v>0.9</v>
      </c>
      <c r="N130">
        <f t="shared" si="5"/>
        <v>40849502.432240896</v>
      </c>
    </row>
    <row r="131" spans="1:14" x14ac:dyDescent="0.4">
      <c r="A131" t="s">
        <v>73</v>
      </c>
      <c r="B131">
        <v>8.60191358399999E-2</v>
      </c>
      <c r="D131">
        <v>1</v>
      </c>
      <c r="E131">
        <v>640</v>
      </c>
      <c r="F131">
        <v>22</v>
      </c>
      <c r="G131">
        <v>1</v>
      </c>
      <c r="J131">
        <v>4</v>
      </c>
      <c r="L131">
        <f t="shared" si="4"/>
        <v>309760</v>
      </c>
      <c r="M131">
        <v>0.9</v>
      </c>
      <c r="N131">
        <f t="shared" si="5"/>
        <v>95923.035064074138</v>
      </c>
    </row>
    <row r="132" spans="1:14" x14ac:dyDescent="0.4">
      <c r="A132" t="s">
        <v>73</v>
      </c>
      <c r="B132">
        <v>8.60191358399999E-2</v>
      </c>
      <c r="D132">
        <v>1</v>
      </c>
      <c r="E132">
        <v>640</v>
      </c>
      <c r="F132">
        <v>22</v>
      </c>
      <c r="G132">
        <v>3</v>
      </c>
      <c r="J132">
        <v>4</v>
      </c>
      <c r="L132">
        <f t="shared" si="4"/>
        <v>2787840</v>
      </c>
      <c r="M132">
        <v>0.9</v>
      </c>
      <c r="N132">
        <f t="shared" si="5"/>
        <v>863307.3155766672</v>
      </c>
    </row>
    <row r="133" spans="1:14" x14ac:dyDescent="0.4">
      <c r="A133" t="s">
        <v>73</v>
      </c>
      <c r="B133">
        <v>8.60191358399999E-2</v>
      </c>
      <c r="D133">
        <v>1</v>
      </c>
      <c r="E133">
        <v>640</v>
      </c>
      <c r="F133">
        <v>22</v>
      </c>
      <c r="G133">
        <v>5</v>
      </c>
      <c r="J133">
        <v>4</v>
      </c>
      <c r="L133">
        <f t="shared" si="4"/>
        <v>7744000</v>
      </c>
      <c r="M133">
        <v>0.9</v>
      </c>
      <c r="N133">
        <f t="shared" si="5"/>
        <v>2398075.8766018534</v>
      </c>
    </row>
    <row r="134" spans="1:14" x14ac:dyDescent="0.4">
      <c r="A134" t="s">
        <v>74</v>
      </c>
      <c r="B134">
        <v>0.123899829784999</v>
      </c>
      <c r="D134">
        <v>640</v>
      </c>
      <c r="E134">
        <v>320</v>
      </c>
      <c r="F134">
        <v>22</v>
      </c>
      <c r="G134">
        <v>1</v>
      </c>
      <c r="J134">
        <v>4</v>
      </c>
      <c r="L134">
        <f t="shared" si="4"/>
        <v>99123200</v>
      </c>
      <c r="M134">
        <v>0.9</v>
      </c>
      <c r="N134">
        <f t="shared" si="5"/>
        <v>44212851.387879886</v>
      </c>
    </row>
    <row r="135" spans="1:14" x14ac:dyDescent="0.4">
      <c r="A135" t="s">
        <v>91</v>
      </c>
      <c r="B135">
        <v>0.18626485000000001</v>
      </c>
      <c r="C135" t="s">
        <v>75</v>
      </c>
      <c r="D135">
        <v>1</v>
      </c>
      <c r="E135">
        <v>320</v>
      </c>
      <c r="F135">
        <v>44</v>
      </c>
      <c r="G135">
        <v>3</v>
      </c>
      <c r="H135">
        <v>3</v>
      </c>
      <c r="I135">
        <v>1</v>
      </c>
      <c r="J135">
        <v>4</v>
      </c>
      <c r="L135">
        <f t="shared" si="4"/>
        <v>5575680</v>
      </c>
      <c r="M135">
        <v>0.9</v>
      </c>
      <c r="N135">
        <f t="shared" si="5"/>
        <v>3738791.5158528001</v>
      </c>
    </row>
    <row r="136" spans="1:14" x14ac:dyDescent="0.4">
      <c r="A136" t="s">
        <v>92</v>
      </c>
      <c r="B136">
        <v>9.1059455025E-2</v>
      </c>
      <c r="C136" t="s">
        <v>76</v>
      </c>
      <c r="D136">
        <v>320</v>
      </c>
      <c r="E136">
        <v>128</v>
      </c>
      <c r="F136">
        <v>44</v>
      </c>
      <c r="G136">
        <v>1</v>
      </c>
      <c r="H136">
        <v>1</v>
      </c>
      <c r="I136">
        <v>0</v>
      </c>
      <c r="J136">
        <v>4</v>
      </c>
      <c r="L136">
        <f t="shared" si="4"/>
        <v>79298560</v>
      </c>
      <c r="M136">
        <v>0.9</v>
      </c>
      <c r="N136">
        <f t="shared" si="5"/>
        <v>25995181.16832215</v>
      </c>
    </row>
    <row r="137" spans="1:14" x14ac:dyDescent="0.4">
      <c r="J137">
        <v>4</v>
      </c>
      <c r="L137">
        <f t="shared" si="4"/>
        <v>0</v>
      </c>
      <c r="M137">
        <v>0.9</v>
      </c>
      <c r="N137">
        <f t="shared" si="5"/>
        <v>0</v>
      </c>
    </row>
    <row r="138" spans="1:14" x14ac:dyDescent="0.4">
      <c r="A138" t="s">
        <v>77</v>
      </c>
      <c r="B138">
        <v>0.21236905</v>
      </c>
      <c r="J138">
        <v>4</v>
      </c>
      <c r="L138">
        <f t="shared" si="4"/>
        <v>0</v>
      </c>
      <c r="M138">
        <v>0.9</v>
      </c>
      <c r="N138">
        <f t="shared" si="5"/>
        <v>0</v>
      </c>
    </row>
    <row r="139" spans="1:14" x14ac:dyDescent="0.4">
      <c r="A139" t="s">
        <v>93</v>
      </c>
      <c r="B139">
        <v>0.1180078124</v>
      </c>
      <c r="C139" t="s">
        <v>78</v>
      </c>
      <c r="D139">
        <v>128</v>
      </c>
      <c r="E139">
        <v>8</v>
      </c>
      <c r="F139">
        <v>1</v>
      </c>
      <c r="G139">
        <v>1</v>
      </c>
      <c r="H139">
        <v>1</v>
      </c>
      <c r="I139">
        <v>0</v>
      </c>
      <c r="J139">
        <v>4</v>
      </c>
      <c r="L139">
        <f t="shared" si="4"/>
        <v>1024</v>
      </c>
      <c r="M139">
        <v>0.9</v>
      </c>
      <c r="N139">
        <f t="shared" si="5"/>
        <v>435.02399963135997</v>
      </c>
    </row>
    <row r="140" spans="1:14" x14ac:dyDescent="0.4">
      <c r="A140" t="s">
        <v>94</v>
      </c>
      <c r="B140">
        <v>0.52093750000000005</v>
      </c>
      <c r="C140" t="s">
        <v>79</v>
      </c>
      <c r="D140">
        <v>8</v>
      </c>
      <c r="E140">
        <v>128</v>
      </c>
      <c r="F140">
        <v>1</v>
      </c>
      <c r="G140">
        <v>1</v>
      </c>
      <c r="H140">
        <v>1</v>
      </c>
      <c r="I140">
        <v>0</v>
      </c>
      <c r="J140">
        <v>4</v>
      </c>
      <c r="L140">
        <f t="shared" si="4"/>
        <v>1024</v>
      </c>
      <c r="M140">
        <v>0.9</v>
      </c>
      <c r="N140">
        <f t="shared" si="5"/>
        <v>1920.3840000000002</v>
      </c>
    </row>
    <row r="141" spans="1:14" x14ac:dyDescent="0.4">
      <c r="A141" t="s">
        <v>95</v>
      </c>
      <c r="B141">
        <v>0.99875000125000002</v>
      </c>
      <c r="C141" t="s">
        <v>78</v>
      </c>
      <c r="D141">
        <v>128</v>
      </c>
      <c r="E141">
        <v>8</v>
      </c>
      <c r="F141">
        <v>1</v>
      </c>
      <c r="G141">
        <v>1</v>
      </c>
      <c r="H141">
        <v>1</v>
      </c>
      <c r="I141">
        <v>0</v>
      </c>
      <c r="J141">
        <v>4</v>
      </c>
      <c r="L141">
        <f t="shared" si="4"/>
        <v>1024</v>
      </c>
      <c r="M141">
        <v>0.9</v>
      </c>
      <c r="N141">
        <f t="shared" si="5"/>
        <v>3681.7920046080003</v>
      </c>
    </row>
    <row r="142" spans="1:14" x14ac:dyDescent="0.4">
      <c r="A142" t="s">
        <v>96</v>
      </c>
      <c r="B142">
        <v>0.1875</v>
      </c>
      <c r="C142" t="s">
        <v>79</v>
      </c>
      <c r="D142">
        <v>8</v>
      </c>
      <c r="E142">
        <v>128</v>
      </c>
      <c r="F142">
        <v>1</v>
      </c>
      <c r="G142">
        <v>1</v>
      </c>
      <c r="H142">
        <v>1</v>
      </c>
      <c r="I142">
        <v>0</v>
      </c>
      <c r="J142">
        <v>4</v>
      </c>
      <c r="L142">
        <f t="shared" si="4"/>
        <v>1024</v>
      </c>
      <c r="M142">
        <v>0.9</v>
      </c>
      <c r="N142">
        <f t="shared" si="5"/>
        <v>691.2</v>
      </c>
    </row>
    <row r="143" spans="1:14" x14ac:dyDescent="0.4">
      <c r="A143" t="s">
        <v>72</v>
      </c>
      <c r="B143">
        <v>0.27425095244999897</v>
      </c>
      <c r="D143">
        <v>128</v>
      </c>
      <c r="E143">
        <v>256</v>
      </c>
      <c r="F143">
        <v>44</v>
      </c>
      <c r="G143">
        <v>1</v>
      </c>
      <c r="J143">
        <v>4</v>
      </c>
      <c r="L143">
        <f t="shared" si="4"/>
        <v>63438848</v>
      </c>
      <c r="M143">
        <v>0.9</v>
      </c>
      <c r="N143">
        <f t="shared" si="5"/>
        <v>62633392.150790572</v>
      </c>
    </row>
    <row r="144" spans="1:14" x14ac:dyDescent="0.4">
      <c r="A144" t="s">
        <v>73</v>
      </c>
      <c r="B144">
        <v>9.8007570344999906E-2</v>
      </c>
      <c r="D144">
        <v>1</v>
      </c>
      <c r="E144">
        <v>256</v>
      </c>
      <c r="F144">
        <v>44</v>
      </c>
      <c r="G144">
        <v>1</v>
      </c>
      <c r="J144">
        <v>4</v>
      </c>
      <c r="L144">
        <f t="shared" si="4"/>
        <v>495616</v>
      </c>
      <c r="M144">
        <v>0.9</v>
      </c>
      <c r="N144">
        <f t="shared" si="5"/>
        <v>174866.8319427869</v>
      </c>
    </row>
    <row r="145" spans="1:14" x14ac:dyDescent="0.4">
      <c r="A145" t="s">
        <v>73</v>
      </c>
      <c r="B145">
        <v>9.8007570344999906E-2</v>
      </c>
      <c r="D145">
        <v>1</v>
      </c>
      <c r="E145">
        <v>256</v>
      </c>
      <c r="F145">
        <v>44</v>
      </c>
      <c r="G145">
        <v>3</v>
      </c>
      <c r="J145">
        <v>4</v>
      </c>
      <c r="L145">
        <f t="shared" si="4"/>
        <v>4460544</v>
      </c>
      <c r="M145">
        <v>0.9</v>
      </c>
      <c r="N145">
        <f t="shared" si="5"/>
        <v>1573801.4874850821</v>
      </c>
    </row>
    <row r="146" spans="1:14" x14ac:dyDescent="0.4">
      <c r="A146" t="s">
        <v>73</v>
      </c>
      <c r="B146">
        <v>9.8007570344999906E-2</v>
      </c>
      <c r="D146">
        <v>1</v>
      </c>
      <c r="E146">
        <v>256</v>
      </c>
      <c r="F146">
        <v>44</v>
      </c>
      <c r="G146">
        <v>5</v>
      </c>
      <c r="J146">
        <v>4</v>
      </c>
      <c r="L146">
        <f t="shared" si="4"/>
        <v>12390400</v>
      </c>
      <c r="M146">
        <v>0.9</v>
      </c>
      <c r="N146">
        <f t="shared" si="5"/>
        <v>4371670.7985696727</v>
      </c>
    </row>
    <row r="147" spans="1:14" x14ac:dyDescent="0.4">
      <c r="A147" t="s">
        <v>74</v>
      </c>
      <c r="B147">
        <v>0.117865829795</v>
      </c>
      <c r="D147">
        <v>256</v>
      </c>
      <c r="E147">
        <v>128</v>
      </c>
      <c r="F147">
        <v>44</v>
      </c>
      <c r="G147">
        <v>1</v>
      </c>
      <c r="J147">
        <v>4</v>
      </c>
      <c r="L147">
        <f t="shared" si="4"/>
        <v>63438848</v>
      </c>
      <c r="M147">
        <v>0.9</v>
      </c>
      <c r="N147">
        <f t="shared" si="5"/>
        <v>26918180.858731955</v>
      </c>
    </row>
    <row r="148" spans="1:14" x14ac:dyDescent="0.4">
      <c r="A148" t="s">
        <v>91</v>
      </c>
      <c r="B148">
        <v>0.31653134145</v>
      </c>
      <c r="C148" t="s">
        <v>80</v>
      </c>
      <c r="D148">
        <v>1</v>
      </c>
      <c r="E148">
        <v>128</v>
      </c>
      <c r="F148">
        <v>88</v>
      </c>
      <c r="G148">
        <v>3</v>
      </c>
      <c r="H148">
        <v>1</v>
      </c>
      <c r="I148">
        <v>1</v>
      </c>
      <c r="J148">
        <v>4</v>
      </c>
      <c r="L148">
        <f t="shared" si="4"/>
        <v>8921088</v>
      </c>
      <c r="M148">
        <v>0.9</v>
      </c>
      <c r="N148">
        <f t="shared" si="5"/>
        <v>10165694.226600593</v>
      </c>
    </row>
    <row r="149" spans="1:14" x14ac:dyDescent="0.4">
      <c r="A149" t="s">
        <v>92</v>
      </c>
      <c r="B149">
        <v>0.104336618529999</v>
      </c>
      <c r="C149" t="s">
        <v>81</v>
      </c>
      <c r="D149">
        <v>128</v>
      </c>
      <c r="E149">
        <v>64</v>
      </c>
      <c r="F149">
        <v>88</v>
      </c>
      <c r="G149">
        <v>1</v>
      </c>
      <c r="H149">
        <v>1</v>
      </c>
      <c r="I149">
        <v>0</v>
      </c>
      <c r="J149">
        <v>4</v>
      </c>
      <c r="L149">
        <f t="shared" si="4"/>
        <v>63438848</v>
      </c>
      <c r="M149">
        <v>0.9</v>
      </c>
      <c r="N149">
        <f t="shared" si="5"/>
        <v>23828381.581530925</v>
      </c>
    </row>
    <row r="150" spans="1:14" x14ac:dyDescent="0.4">
      <c r="J150">
        <v>4</v>
      </c>
      <c r="L150">
        <f t="shared" si="4"/>
        <v>0</v>
      </c>
      <c r="M150">
        <v>0.9</v>
      </c>
      <c r="N150">
        <f t="shared" si="5"/>
        <v>0</v>
      </c>
    </row>
    <row r="151" spans="1:14" x14ac:dyDescent="0.4">
      <c r="A151" t="s">
        <v>82</v>
      </c>
      <c r="B151">
        <v>0.22928335999999999</v>
      </c>
      <c r="J151">
        <v>4</v>
      </c>
      <c r="L151">
        <f t="shared" si="4"/>
        <v>0</v>
      </c>
      <c r="M151">
        <v>0.9</v>
      </c>
      <c r="N151">
        <f t="shared" si="5"/>
        <v>0</v>
      </c>
    </row>
    <row r="152" spans="1:14" x14ac:dyDescent="0.4">
      <c r="A152" t="s">
        <v>93</v>
      </c>
      <c r="B152">
        <v>0.16205078125</v>
      </c>
      <c r="C152" t="s">
        <v>83</v>
      </c>
      <c r="D152">
        <v>64</v>
      </c>
      <c r="E152">
        <v>4</v>
      </c>
      <c r="F152">
        <v>1</v>
      </c>
      <c r="G152">
        <v>1</v>
      </c>
      <c r="H152">
        <v>1</v>
      </c>
      <c r="I152">
        <v>0</v>
      </c>
      <c r="J152">
        <v>4</v>
      </c>
      <c r="L152">
        <f t="shared" si="4"/>
        <v>256</v>
      </c>
      <c r="M152">
        <v>0.9</v>
      </c>
      <c r="N152">
        <f t="shared" si="5"/>
        <v>149.346</v>
      </c>
    </row>
    <row r="153" spans="1:14" x14ac:dyDescent="0.4">
      <c r="A153" t="s">
        <v>94</v>
      </c>
      <c r="B153">
        <v>0.65781250000000002</v>
      </c>
      <c r="C153" t="s">
        <v>84</v>
      </c>
      <c r="D153">
        <v>4</v>
      </c>
      <c r="E153">
        <v>64</v>
      </c>
      <c r="F153">
        <v>1</v>
      </c>
      <c r="G153">
        <v>1</v>
      </c>
      <c r="H153">
        <v>1</v>
      </c>
      <c r="I153">
        <v>0</v>
      </c>
      <c r="J153">
        <v>4</v>
      </c>
      <c r="L153">
        <f t="shared" si="4"/>
        <v>256</v>
      </c>
      <c r="M153">
        <v>0.9</v>
      </c>
      <c r="N153">
        <f t="shared" si="5"/>
        <v>606.24</v>
      </c>
    </row>
    <row r="154" spans="1:14" x14ac:dyDescent="0.4">
      <c r="A154" t="s">
        <v>95</v>
      </c>
      <c r="B154">
        <v>0.99763671875000004</v>
      </c>
      <c r="C154" t="s">
        <v>83</v>
      </c>
      <c r="D154">
        <v>64</v>
      </c>
      <c r="E154">
        <v>4</v>
      </c>
      <c r="F154">
        <v>1</v>
      </c>
      <c r="G154">
        <v>1</v>
      </c>
      <c r="H154">
        <v>1</v>
      </c>
      <c r="I154">
        <v>0</v>
      </c>
      <c r="J154">
        <v>4</v>
      </c>
      <c r="L154">
        <f t="shared" si="4"/>
        <v>256</v>
      </c>
      <c r="M154">
        <v>0.9</v>
      </c>
      <c r="N154">
        <f t="shared" si="5"/>
        <v>919.42200000000003</v>
      </c>
    </row>
    <row r="155" spans="1:14" x14ac:dyDescent="0.4">
      <c r="A155" t="s">
        <v>96</v>
      </c>
      <c r="B155">
        <v>0.125</v>
      </c>
      <c r="C155" t="s">
        <v>84</v>
      </c>
      <c r="D155">
        <v>4</v>
      </c>
      <c r="E155">
        <v>64</v>
      </c>
      <c r="F155">
        <v>1</v>
      </c>
      <c r="G155">
        <v>1</v>
      </c>
      <c r="H155">
        <v>1</v>
      </c>
      <c r="I155">
        <v>0</v>
      </c>
      <c r="J155">
        <v>4</v>
      </c>
      <c r="L155">
        <f t="shared" si="4"/>
        <v>256</v>
      </c>
      <c r="M155">
        <v>0.9</v>
      </c>
      <c r="N155">
        <f t="shared" si="5"/>
        <v>115.2</v>
      </c>
    </row>
    <row r="156" spans="1:14" x14ac:dyDescent="0.4">
      <c r="A156" t="s">
        <v>72</v>
      </c>
      <c r="B156">
        <v>0.28937303864999903</v>
      </c>
      <c r="D156">
        <v>64</v>
      </c>
      <c r="E156">
        <v>128</v>
      </c>
      <c r="F156">
        <v>88</v>
      </c>
      <c r="G156">
        <v>1</v>
      </c>
      <c r="J156">
        <v>4</v>
      </c>
      <c r="L156">
        <f t="shared" si="4"/>
        <v>63438848</v>
      </c>
      <c r="M156">
        <v>0.9</v>
      </c>
      <c r="N156">
        <f t="shared" si="5"/>
        <v>66086971.971175484</v>
      </c>
    </row>
    <row r="157" spans="1:14" x14ac:dyDescent="0.4">
      <c r="A157" t="s">
        <v>73</v>
      </c>
      <c r="B157">
        <v>0.11176835858</v>
      </c>
      <c r="D157">
        <v>1</v>
      </c>
      <c r="E157">
        <v>128</v>
      </c>
      <c r="F157">
        <v>88</v>
      </c>
      <c r="G157">
        <v>1</v>
      </c>
      <c r="J157">
        <v>4</v>
      </c>
      <c r="L157">
        <f t="shared" si="4"/>
        <v>991232</v>
      </c>
      <c r="M157">
        <v>0.9</v>
      </c>
      <c r="N157">
        <f t="shared" si="5"/>
        <v>398838.14500309405</v>
      </c>
    </row>
    <row r="158" spans="1:14" x14ac:dyDescent="0.4">
      <c r="A158" t="s">
        <v>73</v>
      </c>
      <c r="B158">
        <v>0.11176835858</v>
      </c>
      <c r="D158">
        <v>1</v>
      </c>
      <c r="E158">
        <v>128</v>
      </c>
      <c r="F158">
        <v>88</v>
      </c>
      <c r="G158">
        <v>3</v>
      </c>
      <c r="J158">
        <v>4</v>
      </c>
      <c r="L158">
        <f t="shared" si="4"/>
        <v>8921088</v>
      </c>
      <c r="M158">
        <v>0.9</v>
      </c>
      <c r="N158">
        <f t="shared" si="5"/>
        <v>3589543.3050278462</v>
      </c>
    </row>
    <row r="159" spans="1:14" x14ac:dyDescent="0.4">
      <c r="A159" t="s">
        <v>73</v>
      </c>
      <c r="B159">
        <v>0.11176835858</v>
      </c>
      <c r="D159">
        <v>1</v>
      </c>
      <c r="E159">
        <v>128</v>
      </c>
      <c r="F159">
        <v>88</v>
      </c>
      <c r="G159">
        <v>5</v>
      </c>
      <c r="J159">
        <v>4</v>
      </c>
      <c r="L159">
        <f t="shared" si="4"/>
        <v>24780800</v>
      </c>
      <c r="M159">
        <v>0.9</v>
      </c>
      <c r="N159">
        <f t="shared" si="5"/>
        <v>9970953.6250773501</v>
      </c>
    </row>
    <row r="160" spans="1:14" x14ac:dyDescent="0.4">
      <c r="A160" t="s">
        <v>74</v>
      </c>
      <c r="B160">
        <v>0.11974663636499901</v>
      </c>
      <c r="D160">
        <v>128</v>
      </c>
      <c r="E160">
        <v>64</v>
      </c>
      <c r="F160">
        <v>88</v>
      </c>
      <c r="G160">
        <v>1</v>
      </c>
      <c r="J160">
        <v>4</v>
      </c>
      <c r="L160">
        <f t="shared" si="4"/>
        <v>63438848</v>
      </c>
      <c r="M160">
        <v>0.9</v>
      </c>
      <c r="N160">
        <f t="shared" si="5"/>
        <v>27347719.1863336</v>
      </c>
    </row>
    <row r="161" spans="1:14" x14ac:dyDescent="0.4">
      <c r="A161" t="s">
        <v>91</v>
      </c>
      <c r="B161">
        <v>0.35305384525</v>
      </c>
      <c r="C161" t="s">
        <v>85</v>
      </c>
      <c r="D161">
        <v>1</v>
      </c>
      <c r="E161">
        <v>64</v>
      </c>
      <c r="F161">
        <v>176</v>
      </c>
      <c r="G161">
        <v>3</v>
      </c>
      <c r="H161">
        <v>1</v>
      </c>
      <c r="I161">
        <v>1</v>
      </c>
      <c r="J161">
        <v>4</v>
      </c>
      <c r="L161">
        <f t="shared" si="4"/>
        <v>17842176</v>
      </c>
      <c r="M161">
        <v>0.9</v>
      </c>
      <c r="N161">
        <f t="shared" si="5"/>
        <v>22677295.839938153</v>
      </c>
    </row>
    <row r="162" spans="1:14" x14ac:dyDescent="0.4">
      <c r="A162" t="s">
        <v>92</v>
      </c>
      <c r="B162">
        <v>9.9297748185000007E-2</v>
      </c>
      <c r="C162" t="s">
        <v>86</v>
      </c>
      <c r="D162">
        <v>64</v>
      </c>
      <c r="E162">
        <v>32</v>
      </c>
      <c r="F162">
        <v>176</v>
      </c>
      <c r="G162">
        <v>1</v>
      </c>
      <c r="J162">
        <v>4</v>
      </c>
      <c r="L162">
        <f t="shared" si="4"/>
        <v>63438848</v>
      </c>
      <c r="M162">
        <v>0.9</v>
      </c>
      <c r="N162">
        <f t="shared" si="5"/>
        <v>22677605.113861769</v>
      </c>
    </row>
    <row r="163" spans="1:14" x14ac:dyDescent="0.4">
      <c r="J163">
        <v>4</v>
      </c>
      <c r="L163">
        <f t="shared" si="4"/>
        <v>0</v>
      </c>
      <c r="M163">
        <v>0.9</v>
      </c>
      <c r="N163">
        <f t="shared" si="5"/>
        <v>0</v>
      </c>
    </row>
    <row r="164" spans="1:14" x14ac:dyDescent="0.4">
      <c r="A164" t="s">
        <v>82</v>
      </c>
      <c r="B164">
        <v>0.2501102</v>
      </c>
      <c r="J164">
        <v>4</v>
      </c>
      <c r="L164">
        <f t="shared" si="4"/>
        <v>0</v>
      </c>
      <c r="M164">
        <v>0.9</v>
      </c>
      <c r="N164">
        <f t="shared" si="5"/>
        <v>0</v>
      </c>
    </row>
    <row r="165" spans="1:14" x14ac:dyDescent="0.4">
      <c r="A165" t="s">
        <v>93</v>
      </c>
      <c r="B165">
        <v>0.1951953125</v>
      </c>
      <c r="C165" t="s">
        <v>87</v>
      </c>
      <c r="D165">
        <v>32</v>
      </c>
      <c r="E165">
        <v>2</v>
      </c>
      <c r="F165">
        <v>1</v>
      </c>
      <c r="G165">
        <v>1</v>
      </c>
      <c r="H165">
        <v>1</v>
      </c>
      <c r="I165">
        <v>0</v>
      </c>
      <c r="J165">
        <v>4</v>
      </c>
      <c r="L165">
        <f t="shared" si="4"/>
        <v>64</v>
      </c>
      <c r="M165">
        <v>0.9</v>
      </c>
      <c r="N165">
        <f t="shared" si="5"/>
        <v>44.972999999999999</v>
      </c>
    </row>
    <row r="166" spans="1:14" x14ac:dyDescent="0.4">
      <c r="A166" t="s">
        <v>94</v>
      </c>
      <c r="B166">
        <v>0.82499999999999996</v>
      </c>
      <c r="C166" t="s">
        <v>88</v>
      </c>
      <c r="D166">
        <v>2</v>
      </c>
      <c r="E166">
        <v>32</v>
      </c>
      <c r="F166">
        <v>1</v>
      </c>
      <c r="G166">
        <v>1</v>
      </c>
      <c r="H166">
        <v>1</v>
      </c>
      <c r="I166">
        <v>0</v>
      </c>
      <c r="J166">
        <v>4</v>
      </c>
      <c r="L166">
        <f t="shared" si="4"/>
        <v>64</v>
      </c>
      <c r="M166">
        <v>0.9</v>
      </c>
      <c r="N166">
        <f t="shared" si="5"/>
        <v>190.07999999999998</v>
      </c>
    </row>
    <row r="167" spans="1:14" x14ac:dyDescent="0.4">
      <c r="A167" t="s">
        <v>95</v>
      </c>
      <c r="B167">
        <v>0.99785156249999996</v>
      </c>
      <c r="C167" t="s">
        <v>87</v>
      </c>
      <c r="D167">
        <v>32</v>
      </c>
      <c r="E167">
        <v>2</v>
      </c>
      <c r="F167">
        <v>1</v>
      </c>
      <c r="G167">
        <v>1</v>
      </c>
      <c r="H167">
        <v>1</v>
      </c>
      <c r="I167">
        <v>0</v>
      </c>
      <c r="J167">
        <v>4</v>
      </c>
      <c r="L167">
        <f t="shared" si="4"/>
        <v>64</v>
      </c>
      <c r="M167">
        <v>0.9</v>
      </c>
      <c r="N167">
        <f t="shared" si="5"/>
        <v>229.905</v>
      </c>
    </row>
    <row r="168" spans="1:14" x14ac:dyDescent="0.4">
      <c r="A168" t="s">
        <v>96</v>
      </c>
      <c r="B168">
        <v>0.125</v>
      </c>
      <c r="C168" t="s">
        <v>88</v>
      </c>
      <c r="D168">
        <v>2</v>
      </c>
      <c r="E168">
        <v>32</v>
      </c>
      <c r="F168">
        <v>1</v>
      </c>
      <c r="G168">
        <v>1</v>
      </c>
      <c r="H168">
        <v>1</v>
      </c>
      <c r="I168">
        <v>0</v>
      </c>
      <c r="J168">
        <v>4</v>
      </c>
      <c r="L168">
        <f t="shared" si="4"/>
        <v>64</v>
      </c>
      <c r="M168">
        <v>0.9</v>
      </c>
      <c r="N168">
        <f t="shared" si="5"/>
        <v>28.8</v>
      </c>
    </row>
    <row r="169" spans="1:14" x14ac:dyDescent="0.4">
      <c r="A169" t="s">
        <v>72</v>
      </c>
      <c r="B169">
        <v>0.31249923864999901</v>
      </c>
      <c r="D169">
        <v>32</v>
      </c>
      <c r="E169">
        <v>64</v>
      </c>
      <c r="F169">
        <v>176</v>
      </c>
      <c r="G169">
        <v>1</v>
      </c>
      <c r="J169">
        <v>4</v>
      </c>
      <c r="L169">
        <f t="shared" si="4"/>
        <v>63438848</v>
      </c>
      <c r="M169">
        <v>0.9</v>
      </c>
      <c r="N169">
        <f t="shared" si="5"/>
        <v>71368530.122998849</v>
      </c>
    </row>
    <row r="170" spans="1:14" x14ac:dyDescent="0.4">
      <c r="A170" t="s">
        <v>73</v>
      </c>
      <c r="B170">
        <v>0.13189644651999999</v>
      </c>
      <c r="D170">
        <v>1</v>
      </c>
      <c r="E170">
        <v>64</v>
      </c>
      <c r="F170">
        <v>176</v>
      </c>
      <c r="G170">
        <v>1</v>
      </c>
      <c r="J170">
        <v>4</v>
      </c>
      <c r="L170">
        <f t="shared" si="4"/>
        <v>1982464</v>
      </c>
      <c r="M170">
        <v>0.9</v>
      </c>
      <c r="N170">
        <f t="shared" si="5"/>
        <v>941327.84503377089</v>
      </c>
    </row>
    <row r="171" spans="1:14" x14ac:dyDescent="0.4">
      <c r="A171" t="s">
        <v>73</v>
      </c>
      <c r="B171">
        <v>0.13189644651999999</v>
      </c>
      <c r="D171">
        <v>1</v>
      </c>
      <c r="E171">
        <v>64</v>
      </c>
      <c r="F171">
        <v>176</v>
      </c>
      <c r="G171">
        <v>3</v>
      </c>
      <c r="J171">
        <v>4</v>
      </c>
      <c r="L171">
        <f t="shared" si="4"/>
        <v>17842176</v>
      </c>
      <c r="M171">
        <v>0.9</v>
      </c>
      <c r="N171">
        <f t="shared" si="5"/>
        <v>8471950.6053039394</v>
      </c>
    </row>
    <row r="172" spans="1:14" x14ac:dyDescent="0.4">
      <c r="A172" t="s">
        <v>73</v>
      </c>
      <c r="B172">
        <v>0.13189644651999999</v>
      </c>
      <c r="D172">
        <v>1</v>
      </c>
      <c r="E172">
        <v>64</v>
      </c>
      <c r="F172">
        <v>176</v>
      </c>
      <c r="G172">
        <v>5</v>
      </c>
      <c r="J172">
        <v>4</v>
      </c>
      <c r="L172">
        <f t="shared" si="4"/>
        <v>49561600</v>
      </c>
      <c r="M172">
        <v>0.9</v>
      </c>
      <c r="N172">
        <f t="shared" si="5"/>
        <v>23533196.125844274</v>
      </c>
    </row>
    <row r="173" spans="1:14" x14ac:dyDescent="0.4">
      <c r="A173" t="s">
        <v>74</v>
      </c>
      <c r="B173">
        <v>0.12811771689499901</v>
      </c>
      <c r="C173" t="s">
        <v>89</v>
      </c>
      <c r="D173">
        <v>64</v>
      </c>
      <c r="E173">
        <v>32</v>
      </c>
      <c r="F173">
        <v>176</v>
      </c>
      <c r="G173">
        <v>1</v>
      </c>
      <c r="J173">
        <v>4</v>
      </c>
      <c r="L173">
        <f t="shared" si="4"/>
        <v>63438848</v>
      </c>
      <c r="M173">
        <v>0.9</v>
      </c>
      <c r="N173">
        <f>L173*J173*B173*M173</f>
        <v>29259505.325551946</v>
      </c>
    </row>
    <row r="174" spans="1:14" x14ac:dyDescent="0.4">
      <c r="N174">
        <v>0</v>
      </c>
    </row>
    <row r="177" spans="12:15" x14ac:dyDescent="0.4">
      <c r="N177" s="3" t="s">
        <v>90</v>
      </c>
      <c r="O177" s="4">
        <f>SUM(N2:N173)</f>
        <v>11621099091.370874</v>
      </c>
    </row>
    <row r="182" spans="12:15" x14ac:dyDescent="0.4">
      <c r="L182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x1_data_cal(T=4)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</dc:creator>
  <cp:lastModifiedBy>龙龙 翟</cp:lastModifiedBy>
  <dcterms:created xsi:type="dcterms:W3CDTF">2025-08-29T10:41:13Z</dcterms:created>
  <dcterms:modified xsi:type="dcterms:W3CDTF">2026-05-03T06:56:56Z</dcterms:modified>
</cp:coreProperties>
</file>